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b58fe2473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ONG" sheetId="1" r:id="R3d7c8f20b34743c3"/>
    <x:sheet xmlns:r="http://schemas.openxmlformats.org/officeDocument/2006/relationships" name="linear" sheetId="4" r:id="Ra13c0ad5b3a743d4"/>
    <x:sheet xmlns:r="http://schemas.openxmlformats.org/officeDocument/2006/relationships" name="WEAK" sheetId="2" r:id="R6d2134bee5ec43b2"/>
    <x:sheet xmlns:r="http://schemas.openxmlformats.org/officeDocument/2006/relationships" name="RDF" sheetId="3" r:id="R4faa30d9274747e1"/>
  </x:sheets>
</x:workbook>
</file>

<file path=xl/sharedStrings.xml><?xml version="1.0" encoding="utf-8"?>
<x:sst xmlns:x="http://schemas.openxmlformats.org/spreadsheetml/2006/main">
  <x:si>
    <x:t xml:space="preserve">avg time per step/s, LAMMPS-Kokkos (KISS)</x:t>
  </x:si>
  <x:si>
    <x:t xml:space="preserve">avg time per step/s, RBMD (PBC-only)</x:t>
  </x:si>
  <x:si>
    <x:t xml:space="preserve">Pair</x:t>
  </x:si>
  <x:si>
    <x:t xml:space="preserve">Kspace</x:t>
  </x:si>
  <x:si>
    <x:t xml:space="preserve">Pair+Kspace</x:t>
  </x:si>
  <x:si>
    <x:t xml:space="preserve">short</x:t>
  </x:si>
  <x:si>
    <x:t xml:space="preserve">long</x:t>
  </x:si>
  <x:si>
    <x:t xml:space="preserve">short+long</x:t>
  </x:si>
  <x:si>
    <x:t xml:space="preserve">4DCU</x:t>
  </x:si>
  <x:si>
    <x:t xml:space="preserve">8DCU</x:t>
  </x:si>
  <x:si>
    <x:t xml:space="preserve">16DCU</x:t>
  </x:si>
  <x:si>
    <x:t xml:space="preserve">32DCU</x:t>
  </x:si>
  <x:si>
    <x:t xml:space="preserve">64DCU</x:t>
  </x:si>
  <x:si>
    <x:t xml:space="preserve">RBMD Water strong-scaling audit: prior values vs validated reruns</x:t>
  </x:si>
  <x:si>
    <x:t xml:space="preserve">case / provenance</x:t>
  </x:si>
  <x:si>
    <x:t xml:space="preserve">nodes / DCU</x:t>
  </x:si>
  <x:si>
    <x:t xml:space="preserve">MPI grid</x:t>
  </x:si>
  <x:si>
    <x:t xml:space="preserve">local box (angstrom)</x:t>
  </x:si>
  <x:si>
    <x:t xml:space="preserve">legacy workbook</x:t>
  </x:si>
  <x:si>
    <x:t xml:space="preserve">4N / 16DCU</x:t>
  </x:si>
  <x:si>
    <x:t xml:space="preserve">4x2x2</x:t>
  </x:si>
  <x:si>
    <x:t xml:space="preserve">135x270x270</x:t>
  </x:si>
  <x:si>
    <x:t xml:space="preserve">rerun A, job 754506</x:t>
  </x:si>
  <x:si>
    <x:t xml:space="preserve">rerun B, job 754533</x:t>
  </x:si>
  <x:si>
    <x:t xml:space="preserve">rerun mean (primary)</x:t>
  </x:si>
  <x:si>
    <x:t xml:space="preserve">8N / 32DCU</x:t>
  </x:si>
  <x:si>
    <x:t xml:space="preserve">4x4x2</x:t>
  </x:si>
  <x:si>
    <x:t xml:space="preserve">135x135x270</x:t>
  </x:si>
  <x:si>
    <x:t xml:space="preserve">rerun, job 754567 (primary)</x:t>
  </x:si>
  <x:si>
    <x:t xml:space="preserve">16N / 64DCU</x:t>
  </x:si>
  <x:si>
    <x:t xml:space="preserve">4x4x4</x:t>
  </x:si>
  <x:si>
    <x:t xml:space="preserve">135x135x135</x:t>
  </x:si>
  <x:si>
    <x:t xml:space="preserve">rerun, job 754579 (primary)</x:t>
  </x:si>
  <x:si>
    <x:t xml:space="preserve">Conclusion: the two 4-node reruns give 0.063421 and 0.062632 s/step (1.25% spread); their mean is 3.64% below the legacy value. The 8-node and 16-node reruns reproduce the legacy values within 0.05% and 0.58%. The 4-node efficiency dip and 16-node saturation are reproducible, not spreadsheet transcription errors. Both 4-node repeats used the same host set, so a host-placement contribution is not fully excluded.</x:t>
  </x:si>
  <x:si>
    <x:t xml:space="preserve">Source: /public/home/acymkxdx47/rbmd/build/new_gyf_test/water_strong_recheck_4_8_16_20260819 (validated archive SHA-256 512369342d9c26f3ea6658ad170b6193e89a15c89aa2ee55ea71b5a53d041e91)</x:t>
  </x:si>
  <x:si>
    <x:t xml:space="preserve">Matched Water 4-node topology audit: RBMD vs LAMMPS-Kokkos</x:t>
  </x:si>
  <x:si>
    <x:t xml:space="preserve">short / Pair</x:t>
  </x:si>
  <x:si>
    <x:t xml:space="preserve">long / Kspace</x:t>
  </x:si>
  <x:si>
    <x:t xml:space="preserve">sum</x:t>
  </x:si>
  <x:si>
    <x:t xml:space="preserve">RBMD, job 755103</x:t>
  </x:si>
  <x:si>
    <x:t xml:space="preserve">LAMMPS, job 755131</x:t>
  </x:si>
  <x:si>
    <x:t xml:space="preserve">RBMD, job 755141 (primary)</x:t>
  </x:si>
  <x:si>
    <x:t xml:space="preserve">2x4x2</x:t>
  </x:si>
  <x:si>
    <x:t xml:space="preserve">270x135x270</x:t>
  </x:si>
  <x:si>
    <x:t xml:space="preserve">LAMMPS, job 755150 (primary)</x:t>
  </x:si>
  <x:si>
    <x:t xml:space="preserve">RBMD, job 755156</x:t>
  </x:si>
  <x:si>
    <x:t xml:space="preserve">2x2x4</x:t>
  </x:si>
  <x:si>
    <x:t xml:space="preserve">270x270x135</x:t>
  </x:si>
  <x:si>
    <x:t xml:space="preserve">LAMMPS, job 755170</x:t>
  </x:si>
  <x:si>
    <x:t xml:space="preserve">Historical topology audit: 2x4x2 was fastest for both methods (RBMD 0.059243 s/step; LAMMPS-Kokkos 0.139199 s/step), while 4x2x2 was slower by 4.05% and 2.07%. The current isolated main series deliberately uses the common 4x2x2 grid at 16 DCU so RBMD and LAMMPS are compared on exactly the same topology; all orientations remain below for audit.</x:t>
  </x:si>
  <x:si>
    <x:t xml:space="preserve">Source: /public/home/acymkxdx47/rbmd/build/new_gyf_test/water_strong_grid_topology_4nodes_20260819/archive/water_strong_grid_topology_20260819T204745.tgz (SHA-256 7f197d0dab050b28de4509b144b607fdabfb5078ceb2002b128e4ba2d99bfc66)</x:t>
  </x:si>
  <x:si>
    <x:t xml:space="preserve">LAMMPS-Kokkos Water strong scaling: matched 6x6x6 boxes, processor grids, KISS FFT, and isolated reruns</x:t>
  </x:si>
  <x:si>
    <x:t xml:space="preserve">configuration</x:t>
  </x:si>
  <x:si>
    <x:t xml:space="preserve">global replicate</x:t>
  </x:si>
  <x:si>
    <x:t xml:space="preserve">processor grid</x:t>
  </x:si>
  <x:si>
    <x:t xml:space="preserve">source</x:t>
  </x:si>
  <x:si>
    <x:t xml:space="preserve">1 DCU</x:t>
  </x:si>
  <x:si>
    <x:t xml:space="preserve">6x6x6</x:t>
  </x:si>
  <x:si>
    <x:t xml:space="preserve">1x1x1</x:t>
  </x:si>
  <x:si>
    <x:t xml:space="preserve">job 745157 (reused)</x:t>
  </x:si>
  <x:si>
    <x:t xml:space="preserve">2 DCU</x:t>
  </x:si>
  <x:si>
    <x:t xml:space="preserve">2x1x1</x:t>
  </x:si>
  <x:si>
    <x:t xml:space="preserve">job 755352 (new)</x:t>
  </x:si>
  <x:si>
    <x:t xml:space="preserve">4 DCU</x:t>
  </x:si>
  <x:si>
    <x:t xml:space="preserve">2x2x1</x:t>
  </x:si>
  <x:si>
    <x:t xml:space="preserve">job 755390 (new)</x:t>
  </x:si>
  <x:si>
    <x:t xml:space="preserve">8 DCU</x:t>
  </x:si>
  <x:si>
    <x:t xml:space="preserve">2x2x2</x:t>
  </x:si>
  <x:si>
    <x:t xml:space="preserve">validated point (reused)</x:t>
  </x:si>
  <x:si>
    <x:t xml:space="preserve">16 DCU</x:t>
  </x:si>
  <x:si>
    <x:t xml:space="preserve">job 757623 (isolated rerun)</x:t>
  </x:si>
  <x:si>
    <x:t xml:space="preserve">32 DCU</x:t>
  </x:si>
  <x:si>
    <x:t xml:space="preserve">job 757625 (isolated rerun)</x:t>
  </x:si>
  <x:si>
    <x:t xml:space="preserve">64 DCU</x:t>
  </x:si>
  <x:si>
    <x:t xml:space="preserve">job 757627 (isolated rerun)</x:t>
  </x:si>
  <x:si>
    <x:t xml:space="preserve">Historical LAMMPS rows excluded from the exact-box main series</x:t>
  </x:si>
  <x:si>
    <x:t xml:space="preserve">status</x:t>
  </x:si>
  <x:si>
    <x:t xml:space="preserve">reason</x:t>
  </x:si>
  <x:si>
    <x:t xml:space="preserve">former location</x:t>
  </x:si>
  <x:si>
    <x:t xml:space="preserve">2GPU</x:t>
  </x:si>
  <x:si>
    <x:t xml:space="preserve">audit only</x:t>
  </x:si>
  <x:si>
    <x:t xml:space="preserve">pre exact-box campaign</x:t>
  </x:si>
  <x:si>
    <x:t xml:space="preserve">former main row</x:t>
  </x:si>
  <x:si>
    <x:t xml:space="preserve">4GPU</x:t>
  </x:si>
  <x:si>
    <x:t xml:space="preserve">32GPU</x:t>
  </x:si>
  <x:si>
    <x:t xml:space="preserve">Isolated KISS reruns correct the former 32-DCU spike: Pair is unchanged (-0.09%), Kspace falls 22.74%, and Pair+Kspace falls 17.69% to 0.088192 s/step. The 16- and 64-DCU totals reproduce within +2.14% and -0.42%. Relative to 4 DCU, 64-DCU LAMMPS efficiency is 53.74%.</x:t>
  </x:si>
  <x:si>
    <x:t xml:space="preserve">Source: water_strong_kiss_matched_recheck_20260820T164936.tgz (SHA-256 7ac9db90d1289a81952092df829d5cbcaeec7607e256084334b2d745f24c8286); reused 1/2/4/8-DCU provenance remains recorded above.</x:t>
  </x:si>
  <x:si>
    <x:t xml:space="preserve">Matched isolated strong-scaling recheck: validated 16/32/64 DCU points</x:t>
  </x:si>
  <x:si>
    <x:t xml:space="preserve">method / status</x:t>
  </x:si>
  <x:si>
    <x:t xml:space="preserve">DCUs</x:t>
  </x:si>
  <x:si>
    <x:t xml:space="preserve">Pair / Short</x:t>
  </x:si>
  <x:si>
    <x:t xml:space="preserve">Kspace / Long</x:t>
  </x:si>
  <x:si>
    <x:t xml:space="preserve">LAMMPS-Kokkos (KISS), primary</x:t>
  </x:si>
  <x:si>
    <x:t xml:space="preserve">16</x:t>
  </x:si>
  <x:si>
    <x:t xml:space="preserve">job 757623</x:t>
  </x:si>
  <x:si>
    <x:t xml:space="preserve">RBMD, primary</x:t>
  </x:si>
  <x:si>
    <x:t xml:space="preserve">job 757624</x:t>
  </x:si>
  <x:si>
    <x:t xml:space="preserve">32</x:t>
  </x:si>
  <x:si>
    <x:t xml:space="preserve">job 757625</x:t>
  </x:si>
  <x:si>
    <x:t xml:space="preserve">job 757626</x:t>
  </x:si>
  <x:si>
    <x:t xml:space="preserve">64</x:t>
  </x:si>
  <x:si>
    <x:t xml:space="preserve">job 757627</x:t>
  </x:si>
  <x:si>
    <x:t xml:space="preserve">job 757628</x:t>
  </x:si>
  <x:si>
    <x:t xml:space="preserve">Superseded points retained for audit</x:t>
  </x:si>
  <x:si>
    <x:t xml:space="preserve">source / reason</x:t>
  </x:si>
  <x:si>
    <x:t xml:space="preserve">LAMMPS prior main</x:t>
  </x:si>
  <x:si>
    <x:t xml:space="preserve">job 755150; different axis permutation</x:t>
  </x:si>
  <x:si>
    <x:t xml:space="preserve">RBMD prior main</x:t>
  </x:si>
  <x:si>
    <x:t xml:space="preserve">job 755141; fastest topology audit</x:t>
  </x:si>
  <x:si>
    <x:t xml:space="preserve">RBMD prior same-grid</x:t>
  </x:si>
  <x:si>
    <x:t xml:space="preserve">job 755103; comparison to new matched grid</x:t>
  </x:si>
  <x:si>
    <x:t xml:space="preserve">LAMMPS contaminated</x:t>
  </x:si>
  <x:si>
    <x:t xml:space="preserve">job 755394; co-located with weak job 755395</x:t>
  </x:si>
  <x:si>
    <x:t xml:space="preserve">job 754567</x:t>
  </x:si>
  <x:si>
    <x:t xml:space="preserve">job 745655</x:t>
  </x:si>
  <x:si>
    <x:t xml:space="preserve">job 754579</x:t>
  </x:si>
  <x:si>
    <x:t xml:space="preserve">Conclusion: the old LAMMPS 32-DCU anomaly came from same-node job colocation, specifically Kspace/FFT communication, not from the 6x6x6 box or processor grid. RBMD reproduces the prior same-grid 16-DCU point within 0.92% and the prior 32/64-DCU points within 0.03%/0.06%; its 32-to-64 plateau is therefore real. From the common 4-DCU baseline, 64-DCU efficiency is 53.74% for LAMMPS and 64.52% for RBMD; RBMD is 2.92x faster at 64 DCU.</x:t>
  </x:si>
  <x:si>
    <x:t xml:space="preserve">Source: /public/home/acymkxdx47/rbmd/build/new_gyf_test/water_strong_kiss_matched_recheck_20260820 (validated jobs 757623-757628; archive SHA-256 7ac9db90d1289a81952092df829d5cbcaeec7607e256084334b2d745f24c8286).</x:t>
  </x:si>
  <x:si>
    <x:t xml:space="preserve">Water: fixed 1 node / 4 DCU, up to 15,763,896 atoms</x:t>
  </x:si>
  <x:si>
    <x:t xml:space="preserve">atoms</x:t>
  </x:si>
  <x:si>
    <x:t xml:space="preserve">avg time per step/s ,lammps-kokkos</x:t>
  </x:si>
  <x:si>
    <x:t xml:space="preserve">LAMMPS-Kokkos Water weak scaling: RBMD-exact boxes, processor grids, and isolated 32-DCU validation</x:t>
  </x:si>
  <x:si>
    <x:t xml:space="preserve">6x3x3</x:t>
  </x:si>
  <x:si>
    <x:t xml:space="preserve">job 745159 (reused)</x:t>
  </x:si>
  <x:si>
    <x:t xml:space="preserve">6x6x3</x:t>
  </x:si>
  <x:si>
    <x:t xml:space="preserve">job 755392 (new)</x:t>
  </x:si>
  <x:si>
    <x:t xml:space="preserve">job 755393 (new)</x:t>
  </x:si>
  <x:si>
    <x:t xml:space="preserve">6x6x12</x:t>
  </x:si>
  <x:si>
    <x:t xml:space="preserve">job 748259 (reused)</x:t>
  </x:si>
  <x:si>
    <x:t xml:space="preserve">12x6x12</x:t>
  </x:si>
  <x:si>
    <x:t xml:space="preserve">job 748262 (reused)</x:t>
  </x:si>
  <x:si>
    <x:t xml:space="preserve">12x12x12</x:t>
  </x:si>
  <x:si>
    <x:t xml:space="preserve">job 755757 (isolated validation)</x:t>
  </x:si>
  <x:si>
    <x:t xml:space="preserve">12x12x24</x:t>
  </x:si>
  <x:si>
    <x:t xml:space="preserve">job 748265 (reused)</x:t>
  </x:si>
  <x:si>
    <x:t xml:space="preserve">same-node colocation with strong 32-DCU job</x:t>
  </x:si>
  <x:si>
    <x:t xml:space="preserve">job 755395 (former main)</x:t>
  </x:si>
  <x:si>
    <x:t xml:space="preserve">Clean isolated 32-DCU rerun (job 755757) gives 0.548770 s/step, 16.59% below the colocated job 755395 value of 0.657950 s/step. Pair is unchanged at 0.163050 s/step; Kspace drops from 0.494900 to 0.385720 s/step, bringing 32 DCU in line with the 16/64-DCU totals of 0.542980/0.553440 s/step. The former anomaly was caused by same-node job colocation, not box shape or processor topology.</x:t>
  </x:si>
  <x:si>
    <x:t xml:space="preserve">Source: lammps_water_weak32_isolated_validation_20260819.tgz (SHA-256 dc5f69a6409a58ceab3c8148c99707c9458e55bdb8b4652f2f9647d3fcc769e6; job 755757). Former colocated point: job 755395 in lammps_water_rbmd_exact_boxes_20260819T223946.tgz (SHA-256 e9b87c829b0b4d1d5a15f02605423f624d0e181fb1f431141e05741c80767545).</x:t>
  </x:si>
  <x:si>
    <x:t xml:space="preserve">SPC/E Water RDF：LAMMPS PPPM vs RBMD RBE/P200 + uppercase RBL r_core=5.5 n=50；150 bins；rmax=9 Å</x:t>
  </x:si>
  <x:si>
    <x:t xml:space="preserve">20,000 steps; dt=0.5 fs; 每200步取样，共100帧；O–O/O–H/H–H均为同口径 LAMMPS Job 792061</x:t>
  </x:si>
  <x:si>
    <x:t xml:space="preserve">O–O</x:t>
  </x:si>
  <x:si>
    <x:t xml:space="preserve">O–H</x:t>
  </x:si>
  <x:si>
    <x:t xml:space="preserve">H–H</x:t>
  </x:si>
  <x:si>
    <x:t xml:space="preserve">r</x:t>
  </x:si>
  <x:si>
    <x:t xml:space="preserve">lammps</x:t>
  </x:si>
  <x:si>
    <x:t xml:space="preserve">rbmd</x:t>
  </x:si>
</x:sst>
</file>

<file path=xl/styles.xml><?xml version="1.0" encoding="utf-8"?>
<x:styleSheet xmlns:x="http://schemas.openxmlformats.org/spreadsheetml/2006/main">
  <x:numFmts count="1">
    <x:numFmt numFmtId="176" formatCode="0.000000"/>
  </x:numFmts>
  <x:fonts count="10">
    <x:font>
      <x:sz val="11"/>
      <x:name val="Carlito"/>
    </x:font>
    <x:font>
      <x:sz val="11"/>
      <x:name val="Carlito"/>
    </x:font>
    <x:font>
      <x:sz val="9"/>
      <x:name val="FangSong"/>
    </x:font>
    <x:font>
      <x:sz val="10"/>
      <x:color theme="1"/>
      <x:name val="Calibri"/>
    </x:font>
    <x:font>
      <x:b/>
      <x:sz val="11"/>
      <x:name val="Carlito"/>
    </x:font>
    <x:font>
      <x:sz val="10"/>
      <x:color rgb="FF333333"/>
      <x:name val="Carlito"/>
    </x:font>
    <x:font>
      <x:b/>
      <x:sz val="11"/>
      <x:color rgb="FF1F1F1F"/>
      <x:name val="Carlito"/>
    </x:font>
    <x:font>
      <x:sz val="9"/>
      <x:color rgb="FF595959"/>
      <x:name val="Carlito"/>
    </x:font>
    <x:font>
      <x:b/>
      <x:sz val="11"/>
      <x:color rgb="FF1F2937"/>
      <x:name val="Carlito"/>
    </x:font>
    <x:font>
      <x:sz val="11"/>
      <x:color rgb="FF666666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7F7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bottom style="double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2">
    <x:xf numFmtId="0" fontId="0" fillId="0" borderId="0"/>
    <x:xf numFmtId="0" fontId="1" fillId="0" borderId="0"/>
  </x:cellStyleXfs>
  <x:cellXfs count="73">
    <x:xf numFmtId="0" fontId="0" fillId="0" borderId="0" xfId="0"/>
    <x:xf numFmtId="176" fontId="3" fillId="0" borderId="1" xfId="0" applyNumberFormat="1" applyFont="1" applyBorder="1"/>
    <x:xf numFmtId="0" fontId="4" fillId="2" borderId="2" xfId="0" applyFont="1" applyFill="1" applyBorder="1" applyAlignment="1">
      <x:alignment horizontal="center"/>
    </x:xf>
    <x:xf numFmtId="3" fontId="0" fillId="0" borderId="2" xfId="0" applyNumberFormat="1" applyBorder="1" applyAlignment="1">
      <x:alignment horizontal="right"/>
    </x:xf>
    <x:xf numFmtId="176" fontId="0" fillId="0" borderId="2" xfId="0" applyNumberFormat="1" applyBorder="1" applyAlignment="1">
      <x:alignment horizontal="right"/>
    </x:xf>
    <x:xf numFmtId="176" fontId="0" fillId="0" borderId="0" xfId="0" applyNumberFormat="1"/>
    <x:xf numFmtId="0" fontId="0" fillId="0" borderId="2" xfId="0" applyBorder="1" applyAlignment="1">
      <x:alignment wrapText="1"/>
    </x:xf>
    <x:xf numFmtId="0" fontId="0" fillId="0" borderId="0" xfId="0" applyAlignment="1">
      <x:alignment wrapText="1"/>
    </x:xf>
    <x:xf numFmtId="176" fontId="0" fillId="0" borderId="0" xfId="0" applyNumberFormat="1" applyAlignment="1">
      <x:alignment wrapText="1"/>
    </x:xf>
    <x:xf numFmtId="176" fontId="0" fillId="0" borderId="2" xfId="0" applyNumberFormat="1" applyBorder="1"/>
    <x:xf numFmtId="0" fontId="6" fillId="4" borderId="2" xfId="0" applyFont="1" applyFill="1" applyBorder="1" applyAlignment="1">
      <x:alignment horizontal="center" vertical="center" wrapText="1"/>
    </x:xf>
    <x:xf numFmtId="176" fontId="6" fillId="4" borderId="2" xfId="0" applyNumberFormat="1" applyFont="1" applyFill="1" applyBorder="1" applyAlignment="1">
      <x:alignment horizontal="center" vertical="center" wrapText="1"/>
    </x:xf>
    <x:xf numFmtId="176" fontId="0" fillId="5" borderId="2" xfId="0" applyNumberFormat="1" applyFill="1" applyBorder="1"/>
    <x:xf numFmtId="0" fontId="0" fillId="5" borderId="2" xfId="0" applyFill="1" applyBorder="1" applyAlignment="1">
      <x:alignment wrapText="1"/>
    </x:xf>
    <x:xf numFmtId="0" fontId="6" fillId="8" borderId="2" xfId="0" applyFont="1" applyFill="1" applyBorder="1" applyAlignment="1">
      <x:alignment horizontal="center" vertical="center" wrapText="1"/>
    </x:xf>
    <x:xf numFmtId="0" fontId="0" fillId="9" borderId="2" xfId="0" applyFill="1" applyBorder="1" applyAlignment="1">
      <x:alignment wrapText="1"/>
    </x:xf>
    <x:xf numFmtId="176" fontId="0" fillId="9" borderId="2" xfId="0" applyNumberFormat="1" applyFill="1" applyBorder="1"/>
    <x:xf numFmtId="0" fontId="8" fillId="12" borderId="10" xfId="0" applyFont="1" applyFill="1" applyBorder="1" applyAlignment="1">
      <x:alignment wrapText="1"/>
    </x:xf>
    <x:xf numFmtId="0" fontId="0" fillId="0" borderId="11" xfId="0" applyBorder="1" applyAlignment="1">
      <x:alignment wrapText="1"/>
    </x:xf>
    <x:xf numFmtId="176" fontId="0" fillId="0" borderId="11" xfId="0" applyNumberFormat="1" applyBorder="1" applyAlignment="1">
      <x:alignment wrapText="1"/>
    </x:xf>
    <x:xf numFmtId="0" fontId="0" fillId="13" borderId="11" xfId="0" applyFill="1" applyBorder="1" applyAlignment="1">
      <x:alignment wrapText="1"/>
    </x:xf>
    <x:xf numFmtId="176" fontId="0" fillId="13" borderId="11" xfId="0" applyNumberFormat="1" applyFill="1" applyBorder="1" applyAlignment="1">
      <x:alignment wrapText="1"/>
    </x:xf>
    <x:xf numFmtId="176" fontId="8" fillId="12" borderId="10" xfId="0" applyNumberFormat="1" applyFont="1" applyFill="1" applyBorder="1" applyAlignment="1">
      <x:alignment wrapText="1"/>
    </x:xf>
    <x:xf numFmtId="0" fontId="0" fillId="14" borderId="11" xfId="0" applyFill="1" applyBorder="1" applyAlignment="1">
      <x:alignment wrapText="1"/>
    </x:xf>
    <x:xf numFmtId="176" fontId="0" fillId="14" borderId="11" xfId="0" applyNumberFormat="1" applyFill="1" applyBorder="1" applyAlignment="1">
      <x:alignment wrapText="1"/>
    </x:xf>
    <x:xf numFmtId="176" fontId="8" fillId="4" borderId="10" xfId="0" applyNumberFormat="1" applyFont="1" applyFill="1" applyBorder="1" applyAlignment="1">
      <x:alignment wrapText="1"/>
    </x:xf>
    <x:xf numFmtId="176" fontId="0" fillId="2" borderId="11" xfId="0" applyNumberFormat="1" applyFill="1" applyBorder="1" applyAlignment="1">
      <x:alignment wrapText="1"/>
    </x:xf>
    <x:xf numFmtId="0" fontId="6" fillId="17" borderId="2" xfId="0" applyFont="1" applyFill="1" applyBorder="1" applyAlignment="1">
      <x:alignment horizontal="center" vertical="center" wrapText="1"/>
    </x:xf>
    <x:xf numFmtId="176" fontId="6" fillId="17" borderId="2" xfId="0" applyNumberFormat="1" applyFont="1" applyFill="1" applyBorder="1" applyAlignment="1">
      <x:alignment horizontal="center" vertical="center" wrapText="1"/>
    </x:xf>
    <x:xf numFmtId="176" fontId="0" fillId="18" borderId="2" xfId="0" applyNumberFormat="1" applyFill="1" applyBorder="1"/>
    <x:xf numFmtId="176" fontId="0" fillId="19" borderId="2" xfId="0" applyNumberFormat="1" applyFill="1" applyBorder="1"/>
    <x:xf numFmtId="176" fontId="0" fillId="20" borderId="2" xfId="0" applyNumberFormat="1" applyFill="1" applyBorder="1"/>
    <x:xf numFmtId="0" fontId="0" fillId="18" borderId="2" xfId="0" applyFill="1" applyBorder="1" applyAlignment="1">
      <x:alignment wrapText="1"/>
    </x:xf>
    <x:xf numFmtId="0" fontId="0" fillId="19" borderId="2" xfId="0" applyFill="1" applyBorder="1" applyAlignment="1">
      <x:alignment wrapText="1"/>
    </x:xf>
    <x:xf numFmtId="0" fontId="0" fillId="20" borderId="2" xfId="0" applyFill="1" applyBorder="1" applyAlignment="1">
      <x:alignment wrapText="1"/>
    </x:xf>
    <x:xf numFmtId="0" fontId="9" fillId="16" borderId="0" xfId="0" applyFont="1" applyFill="1" applyAlignment="1">
      <x:alignment wrapText="1"/>
    </x:xf>
    <x:xf numFmtId="176" fontId="9" fillId="7" borderId="0" xfId="0" applyNumberFormat="1" applyFont="1" applyFill="1" applyAlignment="1">
      <x:alignment wrapText="1"/>
    </x:xf>
    <x:xf numFmtId="0" fontId="0" fillId="0" borderId="0" xfId="0" applyAlignment="1">
      <x:alignment wrapText="1"/>
    </x:xf>
    <x:xf numFmtId="176" fontId="0" fillId="0" borderId="0" xfId="0" applyNumberFormat="1"/>
    <x:xf numFmtId="0" fontId="5" fillId="21" borderId="3" xfId="0" applyFont="1" applyFill="1" applyBorder="1" applyAlignment="1">
      <x:alignment vertical="center" wrapText="1"/>
    </x:xf>
    <x:xf numFmtId="0" fontId="5" fillId="21" borderId="4" xfId="0" applyFont="1" applyFill="1" applyBorder="1" applyAlignment="1">
      <x:alignment vertical="center" wrapText="1"/>
    </x:xf>
    <x:xf numFmtId="0" fontId="5" fillId="21" borderId="5" xfId="0" applyFont="1" applyFill="1" applyBorder="1" applyAlignment="1">
      <x:alignment vertical="center" wrapText="1"/>
    </x:xf>
    <x:xf numFmtId="0" fontId="5" fillId="21" borderId="6" xfId="0" applyFont="1" applyFill="1" applyBorder="1" applyAlignment="1">
      <x:alignment vertical="center" wrapText="1"/>
    </x:xf>
    <x:xf numFmtId="0" fontId="5" fillId="21" borderId="7" xfId="0" applyFont="1" applyFill="1" applyBorder="1" applyAlignment="1">
      <x:alignment vertical="center" wrapText="1"/>
    </x:xf>
    <x:xf numFmtId="0" fontId="5" fillId="21" borderId="8" xfId="0" applyFont="1" applyFill="1" applyBorder="1" applyAlignment="1">
      <x:alignment vertical="center" wrapText="1"/>
    </x:xf>
    <x:xf numFmtId="0" fontId="7" fillId="19" borderId="0" xfId="0" applyFont="1" applyFill="1" applyAlignment="1">
      <x:alignment vertical="center" wrapText="1"/>
    </x:xf>
    <x:xf numFmtId="0" fontId="7" fillId="11" borderId="0" xfId="0" applyFont="1" applyFill="1" applyAlignment="1">
      <x:alignment vertical="center" wrapText="1"/>
    </x:xf>
    <x:xf numFmtId="0" fontId="8" fillId="0" borderId="9" xfId="0" applyFont="1" applyBorder="1" applyAlignment="1">
      <x:alignment wrapText="1"/>
    </x:xf>
    <x:xf numFmtId="176" fontId="8" fillId="0" borderId="9" xfId="0" applyNumberFormat="1" applyFont="1" applyBorder="1" applyAlignment="1">
      <x:alignment wrapText="1"/>
    </x:xf>
    <x:xf numFmtId="0" fontId="0" fillId="15" borderId="3" xfId="0" applyFill="1" applyBorder="1" applyAlignment="1">
      <x:alignment wrapText="1"/>
    </x:xf>
    <x:xf numFmtId="0" fontId="0" fillId="15" borderId="4" xfId="0" applyFill="1" applyBorder="1" applyAlignment="1">
      <x:alignment wrapText="1"/>
    </x:xf>
    <x:xf numFmtId="176" fontId="0" fillId="3" borderId="4" xfId="0" applyNumberFormat="1" applyFill="1" applyBorder="1" applyAlignment="1">
      <x:alignment wrapText="1"/>
    </x:xf>
    <x:xf numFmtId="176" fontId="0" fillId="3" borderId="5" xfId="0" applyNumberFormat="1" applyFill="1" applyBorder="1" applyAlignment="1">
      <x:alignment wrapText="1"/>
    </x:xf>
    <x:xf numFmtId="0" fontId="0" fillId="15" borderId="6" xfId="0" applyFill="1" applyBorder="1" applyAlignment="1">
      <x:alignment wrapText="1"/>
    </x:xf>
    <x:xf numFmtId="0" fontId="0" fillId="15" borderId="7" xfId="0" applyFill="1" applyBorder="1" applyAlignment="1">
      <x:alignment wrapText="1"/>
    </x:xf>
    <x:xf numFmtId="176" fontId="0" fillId="3" borderId="7" xfId="0" applyNumberFormat="1" applyFill="1" applyBorder="1" applyAlignment="1">
      <x:alignment wrapText="1"/>
    </x:xf>
    <x:xf numFmtId="176" fontId="0" fillId="3" borderId="8" xfId="0" applyNumberFormat="1" applyFill="1" applyBorder="1" applyAlignment="1">
      <x:alignment wrapText="1"/>
    </x:xf>
    <x:xf numFmtId="0" fontId="0" fillId="0" borderId="0" xfId="0"/>
    <x:xf numFmtId="0" fontId="5" fillId="6" borderId="3" xfId="0" applyFont="1" applyFill="1" applyBorder="1" applyAlignment="1">
      <x:alignment vertical="center" wrapText="1"/>
    </x:xf>
    <x:xf numFmtId="0" fontId="5" fillId="6" borderId="4" xfId="0" applyFont="1" applyFill="1" applyBorder="1" applyAlignment="1">
      <x:alignment vertical="center" wrapText="1"/>
    </x:xf>
    <x:xf numFmtId="0" fontId="5" fillId="6" borderId="5" xfId="0" applyFont="1" applyFill="1" applyBorder="1" applyAlignment="1">
      <x:alignment vertical="center" wrapText="1"/>
    </x:xf>
    <x:xf numFmtId="0" fontId="5" fillId="6" borderId="6" xfId="0" applyFont="1" applyFill="1" applyBorder="1" applyAlignment="1">
      <x:alignment vertical="center" wrapText="1"/>
    </x:xf>
    <x:xf numFmtId="0" fontId="5" fillId="6" borderId="7" xfId="0" applyFont="1" applyFill="1" applyBorder="1" applyAlignment="1">
      <x:alignment vertical="center" wrapText="1"/>
    </x:xf>
    <x:xf numFmtId="0" fontId="5" fillId="6" borderId="8" xfId="0" applyFont="1" applyFill="1" applyBorder="1" applyAlignment="1">
      <x:alignment vertical="center" wrapText="1"/>
    </x:xf>
    <x:xf numFmtId="0" fontId="7" fillId="7" borderId="0" xfId="0" applyFont="1" applyFill="1" applyAlignment="1">
      <x:alignment vertical="center" wrapText="1"/>
    </x:xf>
    <x:xf numFmtId="0" fontId="5" fillId="10" borderId="3" xfId="0" applyFont="1" applyFill="1" applyBorder="1" applyAlignment="1">
      <x:alignment vertical="center" wrapText="1"/>
    </x:xf>
    <x:xf numFmtId="0" fontId="5" fillId="10" borderId="4" xfId="0" applyFont="1" applyFill="1" applyBorder="1" applyAlignment="1">
      <x:alignment vertical="center" wrapText="1"/>
    </x:xf>
    <x:xf numFmtId="0" fontId="5" fillId="10" borderId="5" xfId="0" applyFont="1" applyFill="1" applyBorder="1" applyAlignment="1">
      <x:alignment vertical="center" wrapText="1"/>
    </x:xf>
    <x:xf numFmtId="0" fontId="5" fillId="10" borderId="6" xfId="0" applyFont="1" applyFill="1" applyBorder="1" applyAlignment="1">
      <x:alignment vertical="center" wrapText="1"/>
    </x:xf>
    <x:xf numFmtId="0" fontId="5" fillId="10" borderId="7" xfId="0" applyFont="1" applyFill="1" applyBorder="1" applyAlignment="1">
      <x:alignment vertical="center" wrapText="1"/>
    </x:xf>
    <x:xf numFmtId="0" fontId="5" fillId="10" borderId="8" xfId="0" applyFont="1" applyFill="1" applyBorder="1" applyAlignment="1">
      <x:alignment vertical="center" wrapText="1"/>
    </x:xf>
    <x:xf numFmtId="0" fontId="0" fillId="15" borderId="5" xfId="0" applyFill="1" applyBorder="1" applyAlignment="1">
      <x:alignment wrapText="1"/>
    </x:xf>
    <x:xf numFmtId="0" fontId="0" fillId="15" borderId="8" xfId="0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3fb860120439f" /><Relationship Type="http://schemas.openxmlformats.org/officeDocument/2006/relationships/theme" Target="/xl/theme/theme1.xml" Id="R449b7386805e4005" /><Relationship Type="http://schemas.openxmlformats.org/officeDocument/2006/relationships/sharedStrings" Target="/xl/sharedStrings.xml" Id="Rcf3b7bfb91b14fbf" /><Relationship Type="http://schemas.openxmlformats.org/officeDocument/2006/relationships/worksheet" Target="/xl/worksheets/sheet1.xml" Id="R3d7c8f20b34743c3" /><Relationship Type="http://schemas.openxmlformats.org/officeDocument/2006/relationships/worksheet" Target="/xl/worksheets/sheet2.xml" Id="Ra13c0ad5b3a743d4" /><Relationship Type="http://schemas.openxmlformats.org/officeDocument/2006/relationships/worksheet" Target="/xl/worksheets/sheet3.xml" Id="R6d2134bee5ec43b2" /><Relationship Type="http://schemas.openxmlformats.org/officeDocument/2006/relationships/worksheet" Target="/xl/worksheets/sheet4.xml" Id="R4faa30d92747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4" customWidth="1"/>
    <x:col min="2" max="2" width="17" customWidth="1"/>
    <x:col min="3" max="3" width="14" customWidth="1"/>
    <x:col min="4" max="4" width="38" customWidth="1"/>
    <x:col min="5" max="7" width="14" customWidth="1"/>
  </x:cols>
  <x:sheetData>
    <x:row r="3" ht="49.75" customHeight="1">
      <x:c r="A3" s="37" t="str">
        <x:v>Water strong scaling: fixed 15,763,896 atoms; LAMMPS reused; RBMD PBC-only patched build, uppercase RBL 9/5.5 n=50, RBE P=200, dt=0.5 fs; 4 DCU/node, 1000 steps</x:v>
      </x:c>
      <x:c r="B3" s="37"/>
      <x:c r="C3" s="37"/>
      <x:c r="D3" s="37"/>
      <x:c r="E3" s="37"/>
      <x:c r="F3" s="37"/>
      <x:c r="G3" s="37"/>
    </x:row>
    <x:row r="4">
      <x:c r="B4" t="s">
        <x:v>0</x:v>
      </x:c>
      <x:c r="E4" t="s">
        <x:v>1</x:v>
      </x:c>
    </x:row>
    <x:row r="5">
      <x:c r="B5" t="s">
        <x:v>2</x:v>
      </x:c>
      <x:c r="C5" t="s">
        <x:v>3</x:v>
      </x:c>
      <x:c r="D5" t="s">
        <x:v>4</x:v>
      </x:c>
      <x:c r="E5" t="s">
        <x:v>5</x:v>
      </x:c>
      <x:c r="F5" t="s">
        <x:v>6</x:v>
      </x:c>
      <x:c r="G5" t="s">
        <x:v>7</x:v>
      </x:c>
    </x:row>
    <x:row r="6">
      <x:c r="A6" t="s">
        <x:v>8</x:v>
      </x:c>
      <x:c r="B6" s="5">
        <x:v>0.1615</x:v>
      </x:c>
      <x:c r="C6" s="5">
        <x:v>0.36830000000000002</x:v>
      </x:c>
      <x:c r="D6" s="5" t="n">
        <x:f t="shared" ref="D6:D10" si="0">IF(COUNT(B6:C6)=2,SUM(B6:C6),"")</x:f>
        <x:v>0.5298</x:v>
      </x:c>
      <x:c r="E6" s="5" t="n">
        <x:v>0.040622</x:v>
      </x:c>
      <x:c r="F6" s="5" t="n">
        <x:v>0.025682</x:v>
      </x:c>
      <x:c r="G6" s="5" t="n">
        <x:f t="shared" ref="G6:G10" si="1">E6+F6</x:f>
        <x:v>0.066304</x:v>
      </x:c>
    </x:row>
    <x:row r="7">
      <x:c r="A7" t="s">
        <x:v>9</x:v>
      </x:c>
      <x:c r="B7" s="5">
        <x:v>8.48E-2</x:v>
      </x:c>
      <x:c r="C7" s="5">
        <x:v>0.17810000000000001</x:v>
      </x:c>
      <x:c r="D7" s="5">
        <x:f t="shared" si="0"/>
        <x:v>0.26290000000000002</x:v>
      </x:c>
      <x:c r="E7" s="5" t="n">
        <x:v>0.020709</x:v>
      </x:c>
      <x:c r="F7" s="5" t="n">
        <x:v>0.013967</x:v>
      </x:c>
      <x:c r="G7" s="5" t="n">
        <x:f t="shared" si="1">E7+F7</x:f>
        <x:v>0.034676</x:v>
      </x:c>
    </x:row>
    <x:row r="8">
      <x:c r="A8" t="s">
        <x:v>10</x:v>
      </x:c>
      <x:c r="B8" s="5" t="n">
        <x:f>E62</x:f>
        <x:v>0.043595</x:v>
      </x:c>
      <x:c r="C8" s="5" t="n">
        <x:f>F62</x:f>
        <x:v>0.098578</x:v>
      </x:c>
      <x:c r="D8" s="5">
        <x:f t="shared" si="0"/>
        <x:v>0.14217299999999999</x:v>
      </x:c>
      <x:c r="E8" s="5" t="n">
        <x:v>0.010727</x:v>
      </x:c>
      <x:c r="F8" s="5" t="n">
        <x:v>0.008442</x:v>
      </x:c>
      <x:c r="G8" s="5" t="n">
        <x:f t="shared" si="1">E8+F8</x:f>
        <x:v>0.019169</x:v>
      </x:c>
    </x:row>
    <x:row r="9">
      <x:c r="A9" t="s">
        <x:v>11</x:v>
      </x:c>
      <x:c r="B9" s="5" t="n">
        <x:f>E64</x:f>
        <x:v>0.023847</x:v>
      </x:c>
      <x:c r="C9" s="5" t="n">
        <x:f>F64</x:f>
        <x:v>0.064345</x:v>
      </x:c>
      <x:c r="D9" s="5">
        <x:f t="shared" si="0"/>
        <x:v>8.8191999999999993E-2</x:v>
      </x:c>
      <x:c r="E9" s="5" t="n">
        <x:v>0.005637</x:v>
      </x:c>
      <x:c r="F9" s="5" t="n">
        <x:v>0.005299</x:v>
      </x:c>
      <x:c r="G9" s="5" t="n">
        <x:f t="shared" si="1">E9+F9</x:f>
        <x:v>0.010936</x:v>
      </x:c>
    </x:row>
    <x:row r="10" ht="15">
      <x:c r="A10" t="s">
        <x:v>12</x:v>
      </x:c>
      <x:c r="B10" s="5" t="n">
        <x:f>E66</x:f>
        <x:v>0.012366</x:v>
      </x:c>
      <x:c r="C10" s="5" t="n">
        <x:f>F66</x:f>
        <x:v>0.049246</x:v>
      </x:c>
      <x:c r="D10" s="5">
        <x:f t="shared" si="0"/>
        <x:v>6.1612E-2</x:v>
      </x:c>
      <x:c r="E10" s="1" t="n">
        <x:v>0.003289</x:v>
      </x:c>
      <x:c r="F10" s="1" t="n">
        <x:v>0.003919</x:v>
      </x:c>
      <x:c r="G10" s="5" t="n">
        <x:f t="shared" si="1">E10+F10</x:f>
        <x:v>0.007207999999999999</x:v>
      </x:c>
    </x:row>
    <x:row r="11">
      <x:c r="E11" s="5"/>
      <x:c r="F11" s="5"/>
      <x:c r="G11" s="5"/>
    </x:row>
    <x:row r="12">
      <x:c r="A12" s="57" t="s">
        <x:v>13</x:v>
      </x:c>
      <x:c r="B12" s="57"/>
      <x:c r="C12" s="57"/>
      <x:c r="D12" s="57"/>
      <x:c r="E12" s="38"/>
      <x:c r="F12" s="38"/>
      <x:c r="G12" s="38"/>
    </x:row>
    <x:row r="13" ht="16">
      <x:c r="A13" s="10" t="s">
        <x:v>14</x:v>
      </x:c>
      <x:c r="B13" s="10" t="s">
        <x:v>15</x:v>
      </x:c>
      <x:c r="C13" s="10" t="s">
        <x:v>16</x:v>
      </x:c>
      <x:c r="D13" s="10" t="s">
        <x:v>17</x:v>
      </x:c>
      <x:c r="E13" s="11" t="s">
        <x:v>5</x:v>
      </x:c>
      <x:c r="F13" s="11" t="s">
        <x:v>6</x:v>
      </x:c>
      <x:c r="G13" s="11" t="s">
        <x:v>7</x:v>
      </x:c>
    </x:row>
    <x:row r="14" ht="46.25" customHeight="1">
      <x:c r="A14" s="6" t="s">
        <x:v>18</x:v>
      </x:c>
      <x:c r="B14" s="6" t="s">
        <x:v>19</x:v>
      </x:c>
      <x:c r="C14" s="6" t="s">
        <x:v>20</x:v>
      </x:c>
      <x:c r="D14" s="6" t="s">
        <x:v>21</x:v>
      </x:c>
      <x:c r="E14" s="9">
        <x:v>5.7112000000000003E-2</x:v>
      </x:c>
      <x:c r="F14" s="9">
        <x:v>8.2059999999999998E-3</x:v>
      </x:c>
      <x:c r="G14" s="9" t="n">
        <x:f t="shared" ref="G14:G21" si="2">IF(COUNT(E14:F14)=2,SUM(E14:F14),"")</x:f>
        <x:v>0.065318</x:v>
      </x:c>
    </x:row>
    <x:row r="15" ht="53.25" customHeight="1">
      <x:c r="A15" s="6" t="s">
        <x:v>22</x:v>
      </x:c>
      <x:c r="B15" s="6" t="s">
        <x:v>19</x:v>
      </x:c>
      <x:c r="C15" s="6" t="s">
        <x:v>20</x:v>
      </x:c>
      <x:c r="D15" s="6" t="s">
        <x:v>21</x:v>
      </x:c>
      <x:c r="E15" s="9">
        <x:v>5.5248999999999999E-2</x:v>
      </x:c>
      <x:c r="F15" s="9">
        <x:v>8.1720000000000004E-3</x:v>
      </x:c>
      <x:c r="G15" s="9">
        <x:f t="shared" si="2"/>
        <x:v>6.3421000000000005E-2</x:v>
      </x:c>
    </x:row>
    <x:row r="16" ht="42.75" customHeight="1">
      <x:c r="A16" s="6" t="s">
        <x:v>23</x:v>
      </x:c>
      <x:c r="B16" s="6" t="s">
        <x:v>19</x:v>
      </x:c>
      <x:c r="C16" s="6" t="s">
        <x:v>20</x:v>
      </x:c>
      <x:c r="D16" s="6" t="s">
        <x:v>21</x:v>
      </x:c>
      <x:c r="E16" s="9">
        <x:v>5.4468999999999997E-2</x:v>
      </x:c>
      <x:c r="F16" s="9">
        <x:v>8.1630000000000001E-3</x:v>
      </x:c>
      <x:c r="G16" s="9">
        <x:f t="shared" si="2"/>
        <x:v>6.2631999999999993E-2</x:v>
      </x:c>
    </x:row>
    <x:row r="17" ht="42.75" customHeight="1">
      <x:c r="A17" s="13" t="s">
        <x:v>24</x:v>
      </x:c>
      <x:c r="B17" s="13" t="s">
        <x:v>19</x:v>
      </x:c>
      <x:c r="C17" s="13" t="s">
        <x:v>20</x:v>
      </x:c>
      <x:c r="D17" s="13" t="s">
        <x:v>21</x:v>
      </x:c>
      <x:c r="E17" s="12" t="n">
        <x:f>AVERAGE(E15:E16)</x:f>
        <x:v>0.054859</x:v>
      </x:c>
      <x:c r="F17" s="12" t="n">
        <x:f>AVERAGE(F15:F16)</x:f>
        <x:v>0.008167500000000001</x:v>
      </x:c>
      <x:c r="G17" s="12">
        <x:f t="shared" si="2"/>
        <x:v>6.3026499999999999E-2</x:v>
      </x:c>
    </x:row>
    <x:row r="18" ht="42.75" customHeight="1">
      <x:c r="A18" s="6" t="s">
        <x:v>18</x:v>
      </x:c>
      <x:c r="B18" s="6" t="s">
        <x:v>25</x:v>
      </x:c>
      <x:c r="C18" s="6" t="s">
        <x:v>26</x:v>
      </x:c>
      <x:c r="D18" s="6" t="s">
        <x:v>27</x:v>
      </x:c>
      <x:c r="E18" s="9">
        <x:v>2.4181999999999999E-2</x:v>
      </x:c>
      <x:c r="F18" s="9">
        <x:v>5.169E-3</x:v>
      </x:c>
      <x:c r="G18" s="9">
        <x:f t="shared" si="2"/>
        <x:v>2.9350999999999999E-2</x:v>
      </x:c>
    </x:row>
    <x:row r="19" ht="42.75" customHeight="1">
      <x:c r="A19" s="13" t="s">
        <x:v>28</x:v>
      </x:c>
      <x:c r="B19" s="13" t="s">
        <x:v>25</x:v>
      </x:c>
      <x:c r="C19" s="13" t="s">
        <x:v>26</x:v>
      </x:c>
      <x:c r="D19" s="13" t="s">
        <x:v>27</x:v>
      </x:c>
      <x:c r="E19" s="12">
        <x:v>2.4177000000000001E-2</x:v>
      </x:c>
      <x:c r="F19" s="12">
        <x:v>5.189E-3</x:v>
      </x:c>
      <x:c r="G19" s="12">
        <x:f t="shared" si="2"/>
        <x:v>2.9366E-2</x:v>
      </x:c>
    </x:row>
    <x:row r="20" ht="42.75" customHeight="1">
      <x:c r="A20" s="6" t="s">
        <x:v>18</x:v>
      </x:c>
      <x:c r="B20" s="6" t="s">
        <x:v>29</x:v>
      </x:c>
      <x:c r="C20" s="6" t="s">
        <x:v>30</x:v>
      </x:c>
      <x:c r="D20" s="6" t="s">
        <x:v>31</x:v>
      </x:c>
      <x:c r="E20" s="9">
        <x:v>1.7122999999999999E-2</x:v>
      </x:c>
      <x:c r="F20" s="9">
        <x:v>4.0800000000000003E-3</x:v>
      </x:c>
      <x:c r="G20" s="9">
        <x:f t="shared" si="2"/>
        <x:v>2.1203E-2</x:v>
      </x:c>
    </x:row>
    <x:row r="21" ht="42.75" customHeight="1">
      <x:c r="A21" s="13" t="s">
        <x:v>32</x:v>
      </x:c>
      <x:c r="B21" s="13" t="s">
        <x:v>29</x:v>
      </x:c>
      <x:c r="C21" s="13" t="s">
        <x:v>30</x:v>
      </x:c>
      <x:c r="D21" s="13" t="s">
        <x:v>31</x:v>
      </x:c>
      <x:c r="E21" s="12">
        <x:v>1.7131E-2</x:v>
      </x:c>
      <x:c r="F21" s="12">
        <x:v>3.9500000000000004E-3</x:v>
      </x:c>
      <x:c r="G21" s="12">
        <x:f t="shared" si="2"/>
        <x:v>2.1081000000000003E-2</x:v>
      </x:c>
    </x:row>
    <x:row r="22" ht="42.75" customHeight="1"/>
    <x:row r="23" ht="42.75" customHeight="1">
      <x:c r="A23" s="58" t="s">
        <x:v>33</x:v>
      </x:c>
      <x:c r="B23" s="59"/>
      <x:c r="C23" s="59"/>
      <x:c r="D23" s="59"/>
      <x:c r="E23" s="59"/>
      <x:c r="F23" s="59"/>
      <x:c r="G23" s="60"/>
    </x:row>
    <x:row r="24">
      <x:c r="A24" s="61"/>
      <x:c r="B24" s="62"/>
      <x:c r="C24" s="62"/>
      <x:c r="D24" s="62"/>
      <x:c r="E24" s="62"/>
      <x:c r="F24" s="62"/>
      <x:c r="G24" s="63"/>
    </x:row>
    <x:row r="25" ht="64" customHeight="1">
      <x:c r="A25" s="64" t="s">
        <x:v>34</x:v>
      </x:c>
      <x:c r="B25" s="64"/>
      <x:c r="C25" s="64"/>
      <x:c r="D25" s="64"/>
      <x:c r="E25" s="64"/>
      <x:c r="F25" s="64"/>
      <x:c r="G25" s="64"/>
    </x:row>
    <x:row r="26" ht="64" customHeight="1"/>
    <x:row r="27" ht="60.25" customHeight="1">
      <x:c r="A27" s="57" t="s">
        <x:v>35</x:v>
      </x:c>
      <x:c r="B27" s="57"/>
      <x:c r="C27" s="57"/>
      <x:c r="D27" s="57"/>
      <x:c r="E27" s="57"/>
      <x:c r="F27" s="57"/>
      <x:c r="G27" s="57"/>
    </x:row>
    <x:row r="28" ht="16">
      <x:c r="A28" s="14" t="s">
        <x:v>14</x:v>
      </x:c>
      <x:c r="B28" s="14" t="s">
        <x:v>15</x:v>
      </x:c>
      <x:c r="C28" s="14" t="s">
        <x:v>16</x:v>
      </x:c>
      <x:c r="D28" s="14" t="s">
        <x:v>17</x:v>
      </x:c>
      <x:c r="E28" s="14" t="s">
        <x:v>36</x:v>
      </x:c>
      <x:c r="F28" s="14" t="s">
        <x:v>37</x:v>
      </x:c>
      <x:c r="G28" s="14" t="s">
        <x:v>38</x:v>
      </x:c>
    </x:row>
    <x:row r="29" ht="46.25" customHeight="1">
      <x:c r="A29" s="6" t="s">
        <x:v>39</x:v>
      </x:c>
      <x:c r="B29" s="6" t="s">
        <x:v>19</x:v>
      </x:c>
      <x:c r="C29" s="6" t="s">
        <x:v>20</x:v>
      </x:c>
      <x:c r="D29" s="6" t="s">
        <x:v>21</x:v>
      </x:c>
      <x:c r="E29" s="9">
        <x:v>5.3676000000000001E-2</x:v>
      </x:c>
      <x:c r="F29" s="9">
        <x:v>8.0669999999999995E-3</x:v>
      </x:c>
      <x:c r="G29" s="9" t="n">
        <x:f t="shared" ref="G29:G34" si="3">E29+F29</x:f>
        <x:v>0.061743</x:v>
      </x:c>
    </x:row>
    <x:row r="30" ht="53.25" customHeight="1">
      <x:c r="A30" s="6" t="s">
        <x:v>40</x:v>
      </x:c>
      <x:c r="B30" s="6" t="s">
        <x:v>19</x:v>
      </x:c>
      <x:c r="C30" s="6" t="s">
        <x:v>20</x:v>
      </x:c>
      <x:c r="D30" s="6" t="s">
        <x:v>21</x:v>
      </x:c>
      <x:c r="E30" s="9">
        <x:v>4.3595000000000002E-2</x:v>
      </x:c>
      <x:c r="F30" s="9">
        <x:v>9.8543000000000006E-2</x:v>
      </x:c>
      <x:c r="G30" s="9">
        <x:f t="shared" si="3"/>
        <x:v>0.14213800000000001</x:v>
      </x:c>
    </x:row>
    <x:row r="31" ht="42.75" customHeight="1">
      <x:c r="A31" s="15" t="s">
        <x:v>41</x:v>
      </x:c>
      <x:c r="B31" s="15" t="s">
        <x:v>19</x:v>
      </x:c>
      <x:c r="C31" s="15" t="s">
        <x:v>42</x:v>
      </x:c>
      <x:c r="D31" s="15" t="s">
        <x:v>43</x:v>
      </x:c>
      <x:c r="E31" s="16">
        <x:v>5.1189999999999999E-2</x:v>
      </x:c>
      <x:c r="F31" s="16">
        <x:v>8.0529999999999994E-3</x:v>
      </x:c>
      <x:c r="G31" s="16">
        <x:f t="shared" si="3"/>
        <x:v>5.9242999999999997E-2</x:v>
      </x:c>
    </x:row>
    <x:row r="32" ht="42.75" customHeight="1">
      <x:c r="A32" s="15" t="s">
        <x:v>44</x:v>
      </x:c>
      <x:c r="B32" s="15" t="s">
        <x:v>19</x:v>
      </x:c>
      <x:c r="C32" s="15" t="s">
        <x:v>42</x:v>
      </x:c>
      <x:c r="D32" s="15" t="s">
        <x:v>43</x:v>
      </x:c>
      <x:c r="E32" s="16">
        <x:v>4.4638999999999998E-2</x:v>
      </x:c>
      <x:c r="F32" s="16">
        <x:v>9.4560000000000005E-2</x:v>
      </x:c>
      <x:c r="G32" s="16">
        <x:f t="shared" si="3"/>
        <x:v>0.13919900000000002</x:v>
      </x:c>
    </x:row>
    <x:row r="33" ht="42.75" customHeight="1">
      <x:c r="A33" s="6" t="s">
        <x:v>45</x:v>
      </x:c>
      <x:c r="B33" s="6" t="s">
        <x:v>19</x:v>
      </x:c>
      <x:c r="C33" s="6" t="s">
        <x:v>46</x:v>
      </x:c>
      <x:c r="D33" s="6" t="s">
        <x:v>47</x:v>
      </x:c>
      <x:c r="E33" s="9">
        <x:v>5.2470000000000003E-2</x:v>
      </x:c>
      <x:c r="F33" s="9">
        <x:v>8.0759999999999998E-3</x:v>
      </x:c>
      <x:c r="G33" s="9">
        <x:f t="shared" si="3"/>
        <x:v>6.0546000000000003E-2</x:v>
      </x:c>
    </x:row>
    <x:row r="34" ht="42.75" customHeight="1">
      <x:c r="A34" s="6" t="s">
        <x:v>48</x:v>
      </x:c>
      <x:c r="B34" s="6" t="s">
        <x:v>19</x:v>
      </x:c>
      <x:c r="C34" s="6" t="s">
        <x:v>46</x:v>
      </x:c>
      <x:c r="D34" s="6" t="s">
        <x:v>47</x:v>
      </x:c>
      <x:c r="E34" s="9">
        <x:v>4.5310000000000003E-2</x:v>
      </x:c>
      <x:c r="F34" s="9">
        <x:v>9.5864000000000005E-2</x:v>
      </x:c>
      <x:c r="G34" s="9">
        <x:f t="shared" si="3"/>
        <x:v>0.14117400000000002</x:v>
      </x:c>
    </x:row>
    <x:row r="35" ht="42.75" customHeight="1"/>
    <x:row r="36" ht="42.75" customHeight="1">
      <x:c r="A36" s="65" t="s">
        <x:v>49</x:v>
      </x:c>
      <x:c r="B36" s="66"/>
      <x:c r="C36" s="66"/>
      <x:c r="D36" s="66"/>
      <x:c r="E36" s="66"/>
      <x:c r="F36" s="66"/>
      <x:c r="G36" s="67"/>
    </x:row>
    <x:row r="37">
      <x:c r="A37" s="68"/>
      <x:c r="B37" s="69"/>
      <x:c r="C37" s="69"/>
      <x:c r="D37" s="69"/>
      <x:c r="E37" s="69"/>
      <x:c r="F37" s="69"/>
      <x:c r="G37" s="70"/>
    </x:row>
    <x:row r="38" ht="64" customHeight="1">
      <x:c r="A38" s="46" t="s">
        <x:v>50</x:v>
      </x:c>
      <x:c r="B38" s="46"/>
      <x:c r="C38" s="46"/>
      <x:c r="D38" s="46"/>
      <x:c r="E38" s="46"/>
      <x:c r="F38" s="46"/>
      <x:c r="G38" s="46"/>
    </x:row>
    <x:row r="39" ht="64" customHeight="1"/>
    <x:row r="40" ht="60.25" customHeight="1">
      <x:c r="A40" s="47" t="s">
        <x:v>51</x:v>
      </x:c>
      <x:c r="B40" s="47"/>
      <x:c r="C40" s="47"/>
      <x:c r="D40" s="47"/>
      <x:c r="E40" s="47"/>
      <x:c r="F40" s="47"/>
      <x:c r="G40" s="47"/>
    </x:row>
    <x:row r="41" ht="16">
      <x:c r="A41" s="17" t="s">
        <x:v>52</x:v>
      </x:c>
      <x:c r="B41" s="17" t="s">
        <x:v>53</x:v>
      </x:c>
      <x:c r="C41" s="17" t="s">
        <x:v>54</x:v>
      </x:c>
      <x:c r="D41" s="17" t="s">
        <x:v>55</x:v>
      </x:c>
      <x:c r="E41" s="25" t="s">
        <x:v>2</x:v>
      </x:c>
      <x:c r="F41" s="25" t="s">
        <x:v>3</x:v>
      </x:c>
      <x:c r="G41" s="25" t="s">
        <x:v>4</x:v>
      </x:c>
    </x:row>
    <x:row r="42" ht="46.25" customHeight="1">
      <x:c r="A42" s="18" t="s">
        <x:v>56</x:v>
      </x:c>
      <x:c r="B42" s="18" t="s">
        <x:v>57</x:v>
      </x:c>
      <x:c r="C42" s="18" t="s">
        <x:v>58</x:v>
      </x:c>
      <x:c r="D42" s="18" t="s">
        <x:v>59</x:v>
      </x:c>
      <x:c r="E42" s="19">
        <x:v>0.67854999999999999</x:v>
      </x:c>
      <x:c r="F42" s="19">
        <x:v>0.90754999999999997</x:v>
      </x:c>
      <x:c r="G42" s="19" t="n">
        <x:f t="shared" ref="G42:G48" si="4">IF(COUNT(E42:F42)=2,SUM(E42:F42),"")</x:f>
        <x:v>1.5861</x:v>
      </x:c>
    </x:row>
    <x:row r="43" ht="49.75" customHeight="1">
      <x:c r="A43" s="20" t="s">
        <x:v>60</x:v>
      </x:c>
      <x:c r="B43" s="20" t="s">
        <x:v>57</x:v>
      </x:c>
      <x:c r="C43" s="20" t="s">
        <x:v>61</x:v>
      </x:c>
      <x:c r="D43" s="20" t="s">
        <x:v>62</x:v>
      </x:c>
      <x:c r="E43" s="26">
        <x:v>0.33442</x:v>
      </x:c>
      <x:c r="F43" s="26">
        <x:v>0.56508000000000003</x:v>
      </x:c>
      <x:c r="G43" s="26">
        <x:f t="shared" si="4"/>
        <x:v>0.89949999999999997</x:v>
      </x:c>
    </x:row>
    <x:row r="44" ht="49.75" customHeight="1">
      <x:c r="A44" s="20" t="s">
        <x:v>63</x:v>
      </x:c>
      <x:c r="B44" s="20" t="s">
        <x:v>57</x:v>
      </x:c>
      <x:c r="C44" s="20" t="s">
        <x:v>64</x:v>
      </x:c>
      <x:c r="D44" s="20" t="s">
        <x:v>65</x:v>
      </x:c>
      <x:c r="E44" s="26">
        <x:v>0.1615</x:v>
      </x:c>
      <x:c r="F44" s="26">
        <x:v>0.36830000000000002</x:v>
      </x:c>
      <x:c r="G44" s="26">
        <x:f t="shared" si="4"/>
        <x:v>0.52980000000000005</x:v>
      </x:c>
    </x:row>
    <x:row r="45" ht="49.75" customHeight="1">
      <x:c r="A45" s="18" t="s">
        <x:v>66</x:v>
      </x:c>
      <x:c r="B45" s="18" t="s">
        <x:v>57</x:v>
      </x:c>
      <x:c r="C45" s="18" t="s">
        <x:v>67</x:v>
      </x:c>
      <x:c r="D45" s="18" t="s">
        <x:v>68</x:v>
      </x:c>
      <x:c r="E45" s="19">
        <x:v>8.48E-2</x:v>
      </x:c>
      <x:c r="F45" s="19">
        <x:v>0.17810000000000001</x:v>
      </x:c>
      <x:c r="G45" s="19">
        <x:f t="shared" si="4"/>
        <x:v>0.26290000000000002</x:v>
      </x:c>
    </x:row>
    <x:row r="46" ht="49.75" customHeight="1">
      <x:c r="A46" s="18" t="s">
        <x:v>69</x:v>
      </x:c>
      <x:c r="B46" s="18" t="s">
        <x:v>57</x:v>
      </x:c>
      <x:c r="C46" s="18" t="s">
        <x:v>20</x:v>
      </x:c>
      <x:c r="D46" s="18" t="s">
        <x:v>70</x:v>
      </x:c>
      <x:c r="E46" s="19" t="n">
        <x:f>E62</x:f>
        <x:v>0.043595</x:v>
      </x:c>
      <x:c r="F46" s="19" t="n">
        <x:f>F62</x:f>
        <x:v>0.098578</x:v>
      </x:c>
      <x:c r="G46" s="19">
        <x:f t="shared" si="4"/>
        <x:v>0.14217299999999999</x:v>
      </x:c>
    </x:row>
    <x:row r="47" ht="49.75" customHeight="1">
      <x:c r="A47" s="20" t="s">
        <x:v>71</x:v>
      </x:c>
      <x:c r="B47" s="20" t="s">
        <x:v>57</x:v>
      </x:c>
      <x:c r="C47" s="20" t="s">
        <x:v>26</x:v>
      </x:c>
      <x:c r="D47" s="20" t="s">
        <x:v>72</x:v>
      </x:c>
      <x:c r="E47" s="26" t="n">
        <x:f>E64</x:f>
        <x:v>0.023847</x:v>
      </x:c>
      <x:c r="F47" s="26" t="n">
        <x:f>F64</x:f>
        <x:v>0.064345</x:v>
      </x:c>
      <x:c r="G47" s="26">
        <x:f t="shared" si="4"/>
        <x:v>8.8191999999999993E-2</x:v>
      </x:c>
    </x:row>
    <x:row r="48" ht="49.75" customHeight="1">
      <x:c r="A48" s="18" t="s">
        <x:v>73</x:v>
      </x:c>
      <x:c r="B48" s="18" t="s">
        <x:v>57</x:v>
      </x:c>
      <x:c r="C48" s="18" t="s">
        <x:v>30</x:v>
      </x:c>
      <x:c r="D48" s="18" t="s">
        <x:v>74</x:v>
      </x:c>
      <x:c r="E48" s="19" t="n">
        <x:f>E66</x:f>
        <x:v>0.012366</x:v>
      </x:c>
      <x:c r="F48" s="19" t="n">
        <x:f>F66</x:f>
        <x:v>0.049246</x:v>
      </x:c>
      <x:c r="G48" s="19">
        <x:f t="shared" si="4"/>
        <x:v>6.1612E-2</x:v>
      </x:c>
    </x:row>
    <x:row r="49" ht="49.75" customHeight="1">
      <x:c r="A49" s="7"/>
      <x:c r="B49" s="7"/>
      <x:c r="C49" s="7"/>
      <x:c r="D49" s="7"/>
      <x:c r="E49" s="8"/>
      <x:c r="F49" s="8"/>
      <x:c r="G49" s="8"/>
    </x:row>
    <x:row r="50" ht="49.75" customHeight="1">
      <x:c r="A50" s="47" t="s">
        <x:v>75</x:v>
      </x:c>
      <x:c r="B50" s="47"/>
      <x:c r="C50" s="47"/>
      <x:c r="D50" s="47"/>
      <x:c r="E50" s="48"/>
      <x:c r="F50" s="48"/>
      <x:c r="G50" s="48"/>
    </x:row>
    <x:row r="51" ht="16">
      <x:c r="A51" s="17" t="s">
        <x:v>52</x:v>
      </x:c>
      <x:c r="B51" s="17" t="s">
        <x:v>76</x:v>
      </x:c>
      <x:c r="C51" s="17" t="s">
        <x:v>77</x:v>
      </x:c>
      <x:c r="D51" s="17" t="s">
        <x:v>78</x:v>
      </x:c>
      <x:c r="E51" s="25" t="s">
        <x:v>2</x:v>
      </x:c>
      <x:c r="F51" s="25" t="s">
        <x:v>3</x:v>
      </x:c>
      <x:c r="G51" s="25" t="s">
        <x:v>4</x:v>
      </x:c>
    </x:row>
    <x:row r="52" ht="46.25" customHeight="1">
      <x:c r="A52" s="23" t="s">
        <x:v>79</x:v>
      </x:c>
      <x:c r="B52" s="23" t="s">
        <x:v>80</x:v>
      </x:c>
      <x:c r="C52" s="23" t="s">
        <x:v>81</x:v>
      </x:c>
      <x:c r="D52" s="23" t="s">
        <x:v>82</x:v>
      </x:c>
      <x:c r="E52" s="24">
        <x:v>0.33538000000000001</x:v>
      </x:c>
      <x:c r="F52" s="24">
        <x:v>0.58120000000000005</x:v>
      </x:c>
      <x:c r="G52" s="24" t="n">
        <x:f>IF(COUNT(E52:F52)=2,SUM(E52:F52),"")</x:f>
        <x:v>0.9165800000000001</x:v>
      </x:c>
    </x:row>
    <x:row r="53" ht="49.75" customHeight="1">
      <x:c r="A53" s="23" t="s">
        <x:v>83</x:v>
      </x:c>
      <x:c r="B53" s="23" t="s">
        <x:v>80</x:v>
      </x:c>
      <x:c r="C53" s="23" t="s">
        <x:v>81</x:v>
      </x:c>
      <x:c r="D53" s="23" t="s">
        <x:v>82</x:v>
      </x:c>
      <x:c r="E53" s="24">
        <x:v>0.164885</x:v>
      </x:c>
      <x:c r="F53" s="24">
        <x:v>0.32788499999999998</x:v>
      </x:c>
      <x:c r="G53" s="24" t="n">
        <x:f>IF(COUNT(E53:F53)=2,SUM(E53:F53),"")</x:f>
        <x:v>0.49277</x:v>
      </x:c>
    </x:row>
    <x:row r="54" ht="49.75" customHeight="1">
      <x:c r="A54" s="23" t="s">
        <x:v>84</x:v>
      </x:c>
      <x:c r="B54" s="23" t="s">
        <x:v>80</x:v>
      </x:c>
      <x:c r="C54" s="23" t="s">
        <x:v>81</x:v>
      </x:c>
      <x:c r="D54" s="23" t="s">
        <x:v>82</x:v>
      </x:c>
      <x:c r="E54" s="24">
        <x:v>2.5073999999999999E-2</x:v>
      </x:c>
      <x:c r="F54" s="24">
        <x:v>7.8925999999999996E-2</x:v>
      </x:c>
      <x:c r="G54" s="24" t="n">
        <x:f>IF(COUNT(E54:F54)=2,SUM(E54:F54),"")</x:f>
        <x:v>0.104</x:v>
      </x:c>
    </x:row>
    <x:row r="55" ht="49.75" customHeight="1">
      <x:c r="A55" s="7"/>
      <x:c r="B55" s="7"/>
      <x:c r="C55" s="7"/>
      <x:c r="D55" s="7"/>
      <x:c r="E55" s="8"/>
      <x:c r="F55" s="8"/>
      <x:c r="G55" s="8"/>
    </x:row>
    <x:row r="56" ht="49.75" customHeight="1">
      <x:c r="A56" s="49" t="s">
        <x:v>85</x:v>
      </x:c>
      <x:c r="B56" s="50"/>
      <x:c r="C56" s="50"/>
      <x:c r="D56" s="50"/>
      <x:c r="E56" s="51"/>
      <x:c r="F56" s="51"/>
      <x:c r="G56" s="52"/>
    </x:row>
    <x:row r="57">
      <x:c r="A57" s="53"/>
      <x:c r="B57" s="54"/>
      <x:c r="C57" s="54"/>
      <x:c r="D57" s="54"/>
      <x:c r="E57" s="55"/>
      <x:c r="F57" s="55"/>
      <x:c r="G57" s="56"/>
    </x:row>
    <x:row r="58" ht="60.25" customHeight="1">
      <x:c r="A58" s="35" t="s">
        <x:v>86</x:v>
      </x:c>
      <x:c r="B58" s="35"/>
      <x:c r="C58" s="35"/>
      <x:c r="D58" s="35"/>
      <x:c r="E58" s="36"/>
      <x:c r="F58" s="36"/>
      <x:c r="G58" s="36"/>
    </x:row>
    <x:row r="59" ht="60.25" customHeight="1">
      <x:c r="E59" s="5"/>
      <x:c r="F59" s="5"/>
      <x:c r="G59" s="5"/>
    </x:row>
    <x:row r="60" ht="49.75" customHeight="1">
      <x:c r="A60" s="37" t="s">
        <x:v>87</x:v>
      </x:c>
      <x:c r="B60" s="37"/>
      <x:c r="C60" s="37"/>
      <x:c r="D60" s="37"/>
      <x:c r="E60" s="38"/>
      <x:c r="F60" s="38"/>
      <x:c r="G60" s="38"/>
    </x:row>
    <x:row r="61" ht="16">
      <x:c r="A61" s="27" t="s">
        <x:v>88</x:v>
      </x:c>
      <x:c r="B61" s="27" t="s">
        <x:v>89</x:v>
      </x:c>
      <x:c r="C61" s="27" t="s">
        <x:v>16</x:v>
      </x:c>
      <x:c r="D61" s="27" t="s">
        <x:v>55</x:v>
      </x:c>
      <x:c r="E61" s="28" t="s">
        <x:v>90</x:v>
      </x:c>
      <x:c r="F61" s="28" t="s">
        <x:v>91</x:v>
      </x:c>
      <x:c r="G61" s="28" t="s">
        <x:v>38</x:v>
      </x:c>
    </x:row>
    <x:row r="62" ht="46.25" customHeight="1">
      <x:c r="A62" s="32" t="s">
        <x:v>92</x:v>
      </x:c>
      <x:c r="B62" s="32" t="s">
        <x:v>93</x:v>
      </x:c>
      <x:c r="C62" s="32" t="s">
        <x:v>20</x:v>
      </x:c>
      <x:c r="D62" s="32" t="s">
        <x:v>94</x:v>
      </x:c>
      <x:c r="E62" s="29">
        <x:v>4.3595000000000002E-2</x:v>
      </x:c>
      <x:c r="F62" s="29">
        <x:v>9.8577999999999999E-2</x:v>
      </x:c>
      <x:c r="G62" s="29" t="n">
        <x:f t="shared" ref="G62:G67" si="5">IF(COUNT(E62:F62)=2,SUM(E62:F62),"")</x:f>
        <x:v>0.142173</x:v>
      </x:c>
    </x:row>
    <x:row r="63" ht="53.25" customHeight="1">
      <x:c r="A63" s="32" t="s">
        <x:v>95</x:v>
      </x:c>
      <x:c r="B63" s="32" t="s">
        <x:v>93</x:v>
      </x:c>
      <x:c r="C63" s="32" t="s">
        <x:v>20</x:v>
      </x:c>
      <x:c r="D63" s="32" t="s">
        <x:v>96</x:v>
      </x:c>
      <x:c r="E63" s="29">
        <x:v>5.4192999999999998E-2</x:v>
      </x:c>
      <x:c r="F63" s="29">
        <x:v>8.1169999999999992E-3</x:v>
      </x:c>
      <x:c r="G63" s="29">
        <x:f t="shared" si="5"/>
        <x:v>6.2309999999999997E-2</x:v>
      </x:c>
    </x:row>
    <x:row r="64" ht="42.75" customHeight="1">
      <x:c r="A64" s="32" t="s">
        <x:v>92</x:v>
      </x:c>
      <x:c r="B64" s="32" t="s">
        <x:v>97</x:v>
      </x:c>
      <x:c r="C64" s="32" t="s">
        <x:v>26</x:v>
      </x:c>
      <x:c r="D64" s="32" t="s">
        <x:v>98</x:v>
      </x:c>
      <x:c r="E64" s="29">
        <x:v>2.3847E-2</x:v>
      </x:c>
      <x:c r="F64" s="29">
        <x:v>6.4344999999999999E-2</x:v>
      </x:c>
      <x:c r="G64" s="29">
        <x:f t="shared" si="5"/>
        <x:v>8.8191999999999993E-2</x:v>
      </x:c>
    </x:row>
    <x:row r="65" ht="42.75" customHeight="1">
      <x:c r="A65" s="32" t="s">
        <x:v>95</x:v>
      </x:c>
      <x:c r="B65" s="32" t="s">
        <x:v>97</x:v>
      </x:c>
      <x:c r="C65" s="32" t="s">
        <x:v>26</x:v>
      </x:c>
      <x:c r="D65" s="32" t="s">
        <x:v>99</x:v>
      </x:c>
      <x:c r="E65" s="29">
        <x:v>2.4181999999999999E-2</x:v>
      </x:c>
      <x:c r="F65" s="29">
        <x:v>5.1770000000000002E-3</x:v>
      </x:c>
      <x:c r="G65" s="29">
        <x:f t="shared" si="5"/>
        <x:v>2.9359E-2</x:v>
      </x:c>
    </x:row>
    <x:row r="66" ht="42.75" customHeight="1">
      <x:c r="A66" s="32" t="s">
        <x:v>92</x:v>
      </x:c>
      <x:c r="B66" s="32" t="s">
        <x:v>100</x:v>
      </x:c>
      <x:c r="C66" s="32" t="s">
        <x:v>30</x:v>
      </x:c>
      <x:c r="D66" s="32" t="s">
        <x:v>101</x:v>
      </x:c>
      <x:c r="E66" s="29">
        <x:v>1.2366E-2</x:v>
      </x:c>
      <x:c r="F66" s="29">
        <x:v>4.9245999999999998E-2</x:v>
      </x:c>
      <x:c r="G66" s="29">
        <x:f t="shared" si="5"/>
        <x:v>6.1612E-2</x:v>
      </x:c>
    </x:row>
    <x:row r="67" ht="42.75" customHeight="1">
      <x:c r="A67" s="32" t="s">
        <x:v>95</x:v>
      </x:c>
      <x:c r="B67" s="32" t="s">
        <x:v>100</x:v>
      </x:c>
      <x:c r="C67" s="32" t="s">
        <x:v>30</x:v>
      </x:c>
      <x:c r="D67" s="32" t="s">
        <x:v>102</x:v>
      </x:c>
      <x:c r="E67" s="29">
        <x:v>1.7135999999999998E-2</x:v>
      </x:c>
      <x:c r="F67" s="29">
        <x:v>3.934E-3</x:v>
      </x:c>
      <x:c r="G67" s="29">
        <x:f t="shared" si="5"/>
        <x:v>2.1069999999999998E-2</x:v>
      </x:c>
    </x:row>
    <x:row r="68" ht="42.75" customHeight="1">
      <x:c r="A68" s="7"/>
      <x:c r="B68" s="7"/>
      <x:c r="C68" s="7"/>
      <x:c r="D68" s="7"/>
      <x:c r="E68" s="5"/>
      <x:c r="F68" s="5"/>
      <x:c r="G68" s="5"/>
    </x:row>
    <x:row r="69" ht="42.75" customHeight="1">
      <x:c r="A69" s="37" t="s">
        <x:v>103</x:v>
      </x:c>
      <x:c r="B69" s="37"/>
      <x:c r="C69" s="37"/>
      <x:c r="D69" s="37"/>
      <x:c r="E69" s="38"/>
      <x:c r="F69" s="38"/>
      <x:c r="G69" s="38"/>
    </x:row>
    <x:row r="70" ht="16">
      <x:c r="A70" s="27" t="s">
        <x:v>88</x:v>
      </x:c>
      <x:c r="B70" s="27" t="s">
        <x:v>89</x:v>
      </x:c>
      <x:c r="C70" s="27" t="s">
        <x:v>16</x:v>
      </x:c>
      <x:c r="D70" s="27" t="s">
        <x:v>104</x:v>
      </x:c>
      <x:c r="E70" s="28" t="s">
        <x:v>90</x:v>
      </x:c>
      <x:c r="F70" s="28" t="s">
        <x:v>91</x:v>
      </x:c>
      <x:c r="G70" s="28" t="s">
        <x:v>38</x:v>
      </x:c>
    </x:row>
    <x:row r="71" ht="46.25" customHeight="1">
      <x:c r="A71" s="33" t="s">
        <x:v>105</x:v>
      </x:c>
      <x:c r="B71" s="33" t="s">
        <x:v>93</x:v>
      </x:c>
      <x:c r="C71" s="33" t="s">
        <x:v>42</x:v>
      </x:c>
      <x:c r="D71" s="33" t="s">
        <x:v>106</x:v>
      </x:c>
      <x:c r="E71" s="30">
        <x:v>4.4638999999999998E-2</x:v>
      </x:c>
      <x:c r="F71" s="30">
        <x:v>9.4560000000000005E-2</x:v>
      </x:c>
      <x:c r="G71" s="30" t="n">
        <x:f t="shared" ref="G71:G77" si="6">IF(COUNT(E71:F71)=2,SUM(E71:F71),"")</x:f>
        <x:v>0.13919900000000002</x:v>
      </x:c>
    </x:row>
    <x:row r="72" ht="53.25" customHeight="1">
      <x:c r="A72" s="33" t="s">
        <x:v>107</x:v>
      </x:c>
      <x:c r="B72" s="33" t="s">
        <x:v>93</x:v>
      </x:c>
      <x:c r="C72" s="33" t="s">
        <x:v>42</x:v>
      </x:c>
      <x:c r="D72" s="33" t="s">
        <x:v>108</x:v>
      </x:c>
      <x:c r="E72" s="30">
        <x:v>5.1189999999999999E-2</x:v>
      </x:c>
      <x:c r="F72" s="30">
        <x:v>8.0529999999999994E-3</x:v>
      </x:c>
      <x:c r="G72" s="30">
        <x:f t="shared" si="6"/>
        <x:v>5.9242999999999997E-2</x:v>
      </x:c>
    </x:row>
    <x:row r="73" ht="49.75" customHeight="1">
      <x:c r="A73" s="33" t="s">
        <x:v>109</x:v>
      </x:c>
      <x:c r="B73" s="33" t="s">
        <x:v>93</x:v>
      </x:c>
      <x:c r="C73" s="33" t="s">
        <x:v>20</x:v>
      </x:c>
      <x:c r="D73" s="33" t="s">
        <x:v>110</x:v>
      </x:c>
      <x:c r="E73" s="30">
        <x:v>5.3676000000000001E-2</x:v>
      </x:c>
      <x:c r="F73" s="30">
        <x:v>8.0669999999999995E-3</x:v>
      </x:c>
      <x:c r="G73" s="30">
        <x:f t="shared" si="6"/>
        <x:v>6.1742999999999999E-2</x:v>
      </x:c>
    </x:row>
    <x:row r="74" ht="49.75" customHeight="1">
      <x:c r="A74" s="34" t="s">
        <x:v>111</x:v>
      </x:c>
      <x:c r="B74" s="34" t="s">
        <x:v>97</x:v>
      </x:c>
      <x:c r="C74" s="34" t="s">
        <x:v>26</x:v>
      </x:c>
      <x:c r="D74" s="34" t="s">
        <x:v>112</x:v>
      </x:c>
      <x:c r="E74" s="31">
        <x:v>2.3868E-2</x:v>
      </x:c>
      <x:c r="F74" s="31">
        <x:v>8.3282999999999996E-2</x:v>
      </x:c>
      <x:c r="G74" s="31">
        <x:f t="shared" si="6"/>
        <x:v>0.107151</x:v>
      </x:c>
    </x:row>
    <x:row r="75" ht="49.75" customHeight="1">
      <x:c r="A75" s="33" t="s">
        <x:v>107</x:v>
      </x:c>
      <x:c r="B75" s="33" t="s">
        <x:v>97</x:v>
      </x:c>
      <x:c r="C75" s="33" t="s">
        <x:v>26</x:v>
      </x:c>
      <x:c r="D75" s="33" t="s">
        <x:v>113</x:v>
      </x:c>
      <x:c r="E75" s="30">
        <x:v>2.4177000000000001E-2</x:v>
      </x:c>
      <x:c r="F75" s="30">
        <x:v>5.189E-3</x:v>
      </x:c>
      <x:c r="G75" s="30">
        <x:f t="shared" si="6"/>
        <x:v>2.9366E-2</x:v>
      </x:c>
    </x:row>
    <x:row r="76" ht="49.75" customHeight="1">
      <x:c r="A76" s="33" t="s">
        <x:v>105</x:v>
      </x:c>
      <x:c r="B76" s="33" t="s">
        <x:v>100</x:v>
      </x:c>
      <x:c r="C76" s="33" t="s">
        <x:v>30</x:v>
      </x:c>
      <x:c r="D76" s="33" t="s">
        <x:v>114</x:v>
      </x:c>
      <x:c r="E76" s="30">
        <x:v>1.2366E-2</x:v>
      </x:c>
      <x:c r="F76" s="30">
        <x:v>4.9507000000000002E-2</x:v>
      </x:c>
      <x:c r="G76" s="30">
        <x:f t="shared" si="6"/>
        <x:v>6.1873000000000004E-2</x:v>
      </x:c>
    </x:row>
    <x:row r="77" ht="49.75" customHeight="1">
      <x:c r="A77" s="33" t="s">
        <x:v>107</x:v>
      </x:c>
      <x:c r="B77" s="33" t="s">
        <x:v>100</x:v>
      </x:c>
      <x:c r="C77" s="33" t="s">
        <x:v>30</x:v>
      </x:c>
      <x:c r="D77" s="33" t="s">
        <x:v>115</x:v>
      </x:c>
      <x:c r="E77" s="30">
        <x:v>1.7131E-2</x:v>
      </x:c>
      <x:c r="F77" s="30">
        <x:v>3.9500000000000004E-3</x:v>
      </x:c>
      <x:c r="G77" s="30">
        <x:f t="shared" si="6"/>
        <x:v>2.1081000000000003E-2</x:v>
      </x:c>
    </x:row>
    <x:row r="78" ht="49.75" customHeight="1">
      <x:c r="A78" s="7"/>
      <x:c r="B78" s="7"/>
      <x:c r="C78" s="7"/>
      <x:c r="D78" s="7"/>
    </x:row>
    <x:row r="79" ht="49.75" customHeight="1">
      <x:c r="A79" s="39" t="s">
        <x:v>116</x:v>
      </x:c>
      <x:c r="B79" s="40"/>
      <x:c r="C79" s="40"/>
      <x:c r="D79" s="40"/>
      <x:c r="E79" s="40"/>
      <x:c r="F79" s="40"/>
      <x:c r="G79" s="41"/>
    </x:row>
    <x:row r="80">
      <x:c r="A80" s="42"/>
      <x:c r="B80" s="43"/>
      <x:c r="C80" s="43"/>
      <x:c r="D80" s="43"/>
      <x:c r="E80" s="43"/>
      <x:c r="F80" s="43"/>
      <x:c r="G80" s="44"/>
    </x:row>
    <x:row r="81" ht="67.75" customHeight="1">
      <x:c r="A81" s="45" t="s">
        <x:v>117</x:v>
      </x:c>
      <x:c r="B81" s="45"/>
      <x:c r="C81" s="45"/>
      <x:c r="D81" s="45"/>
      <x:c r="E81" s="45"/>
      <x:c r="F81" s="45"/>
      <x:c r="G81" s="45"/>
    </x:row>
    <x:row r="82" ht="67.75" customHeight="1"/>
    <x:row r="83" ht="60.25" customHeight="1"/>
  </x:sheetData>
  <x:mergeCells>
    <x:mergeCell ref="A38:G38"/>
    <x:mergeCell ref="A3:G3"/>
    <x:mergeCell ref="A40:G40"/>
    <x:mergeCell ref="A50:G50"/>
    <x:mergeCell ref="A56:G57"/>
    <x:mergeCell ref="A12:G12"/>
    <x:mergeCell ref="A23:G24"/>
    <x:mergeCell ref="A25:G25"/>
    <x:mergeCell ref="A27:G27"/>
    <x:mergeCell ref="A36:G37"/>
    <x:mergeCell ref="A58:G58"/>
    <x:mergeCell ref="A60:G60"/>
    <x:mergeCell ref="A69:G69"/>
    <x:mergeCell ref="A79:G80"/>
    <x:mergeCell ref="A81:G8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"/>
  <x:cols>
    <x:col min="1" max="1" width="22" customWidth="1"/>
    <x:col min="2" max="4" width="14" customWidth="1"/>
  </x:cols>
  <x:sheetData>
    <x:row r="1">
      <x:c r="A1" t="s">
        <x:v>118</x:v>
      </x:c>
    </x:row>
    <x:row r="2">
      <x:c r="A2" t="str">
        <x:v>RBMD time/step (PBC-only patched build; uppercase RBL 9/5.5, n=50; RBE P=200; dt=0.5 fs; 1000 steps)</x:v>
      </x:c>
    </x:row>
    <x:row r="3" ht="15">
      <x:c r="A3" s="2" t="s">
        <x:v>119</x:v>
      </x:c>
      <x:c r="B3" s="2" t="s">
        <x:v>5</x:v>
      </x:c>
      <x:c r="C3" s="2" t="s">
        <x:v>6</x:v>
      </x:c>
      <x:c r="D3" s="2" t="s">
        <x:v>7</x:v>
      </x:c>
    </x:row>
    <x:row r="4">
      <x:c r="A4" s="3">
        <x:v>583848</x:v>
      </x:c>
      <x:c r="B4" s="4" t="n">
        <x:v>0.002188</x:v>
      </x:c>
      <x:c r="C4" s="4" t="n">
        <x:v>0.002671</x:v>
      </x:c>
      <x:c r="D4" s="4" t="n">
        <x:f t="shared" ref="D4:D9" si="0">B4+C4</x:f>
        <x:v>0.0048590000000000005</x:v>
      </x:c>
    </x:row>
    <x:row r="5">
      <x:c r="A5" s="3">
        <x:v>1313658</x:v>
      </x:c>
      <x:c r="B5" s="4" t="n">
        <x:v>0.003992</x:v>
      </x:c>
      <x:c r="C5" s="4" t="n">
        <x:v>0.003815</x:v>
      </x:c>
      <x:c r="D5" s="4" t="n">
        <x:f t="shared" si="0">B5+C5</x:f>
        <x:v>0.007807</x:v>
      </x:c>
    </x:row>
    <x:row r="6">
      <x:c r="A6" s="3">
        <x:v>1970487</x:v>
      </x:c>
      <x:c r="B6" s="4" t="n">
        <x:v>0.005555</x:v>
      </x:c>
      <x:c r="C6" s="4" t="n">
        <x:v>0.004717</x:v>
      </x:c>
      <x:c r="D6" s="4" t="n">
        <x:f t="shared" si="0">B6+C6</x:f>
        <x:v>0.010272</x:v>
      </x:c>
    </x:row>
    <x:row r="7">
      <x:c r="A7" s="3">
        <x:v>3940974</x:v>
      </x:c>
      <x:c r="B7" s="4" t="n">
        <x:v>0.010648</x:v>
      </x:c>
      <x:c r="C7" s="4" t="n">
        <x:v>0.007809</x:v>
      </x:c>
      <x:c r="D7" s="4" t="n">
        <x:f t="shared" si="0">B7+C7</x:f>
        <x:v>0.018457</x:v>
      </x:c>
    </x:row>
    <x:row r="8">
      <x:c r="A8" s="3">
        <x:v>7881948</x:v>
      </x:c>
      <x:c r="B8" s="4" t="n">
        <x:v>0.020744</x:v>
      </x:c>
      <x:c r="C8" s="4" t="n">
        <x:v>0.013749</x:v>
      </x:c>
      <x:c r="D8" s="4" t="n">
        <x:f t="shared" si="0">B8+C8</x:f>
        <x:v>0.034492999999999996</x:v>
      </x:c>
    </x:row>
    <x:row r="9">
      <x:c r="A9" s="3">
        <x:v>15763896</x:v>
      </x:c>
      <x:c r="B9" s="4" t="n">
        <x:v>0.04063</x:v>
      </x:c>
      <x:c r="C9" s="4" t="n">
        <x:v>0.025655</x:v>
      </x:c>
      <x:c r="D9" s="4" t="n">
        <x:f t="shared" si="0">B9+C9</x:f>
        <x:v>0.066285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43" customWidth="1"/>
    <x:col min="2" max="2" width="20" customWidth="1"/>
    <x:col min="3" max="3" width="22" customWidth="1"/>
    <x:col min="4" max="4" width="27" customWidth="1"/>
    <x:col min="5" max="7" width="17" customWidth="1"/>
  </x:cols>
  <x:sheetData>
    <x:row r="3" ht="49.75" customHeight="1">
      <x:c r="A3" s="37" t="str">
        <x:v>Water weak scaling: 3,940,974 atoms/DCU; LAMMPS reused; RBMD PBC-only patched build, uppercase RBL 9/5.5 n=50, RBE P=200, dt=0.5 fs; best valid box orientation, 1000 steps</x:v>
      </x:c>
      <x:c r="B3" s="37"/>
      <x:c r="C3" s="37"/>
      <x:c r="D3" s="37"/>
      <x:c r="E3" s="37"/>
      <x:c r="F3" s="37"/>
      <x:c r="G3" s="37"/>
    </x:row>
    <x:row r="4">
      <x:c r="B4" t="s">
        <x:v>120</x:v>
      </x:c>
      <x:c r="E4" t="s">
        <x:v>1</x:v>
      </x:c>
    </x:row>
    <x:row r="5">
      <x:c r="B5" t="s">
        <x:v>2</x:v>
      </x:c>
      <x:c r="C5" t="s">
        <x:v>3</x:v>
      </x:c>
      <x:c r="D5" t="s">
        <x:v>4</x:v>
      </x:c>
      <x:c r="E5" t="s">
        <x:v>5</x:v>
      </x:c>
      <x:c r="F5" t="s">
        <x:v>6</x:v>
      </x:c>
      <x:c r="G5" t="s">
        <x:v>7</x:v>
      </x:c>
    </x:row>
    <x:row r="6">
      <x:c r="A6" t="s">
        <x:v>8</x:v>
      </x:c>
      <x:c r="B6" s="5">
        <x:v>0.16150999999999999</x:v>
      </x:c>
      <x:c r="C6" s="5">
        <x:v>0.35015000000000002</x:v>
      </x:c>
      <x:c r="D6" s="5" t="n">
        <x:f t="shared" ref="D6:D10" si="0">IF(COUNT(B6:C6)=2,SUM(B6:C6),"")</x:f>
        <x:v>0.51166</x:v>
      </x:c>
      <x:c r="E6" s="5" t="n">
        <x:v>0.044854</x:v>
      </x:c>
      <x:c r="F6" s="5" t="n">
        <x:v>0.025727</x:v>
      </x:c>
      <x:c r="G6" s="5" t="n">
        <x:f t="shared" ref="G6:G10" si="1">E6+F6</x:f>
        <x:v>0.070581</x:v>
      </x:c>
    </x:row>
    <x:row r="7">
      <x:c r="A7" t="s">
        <x:v>9</x:v>
      </x:c>
      <x:c r="B7" s="5">
        <x:v>0.16922000000000001</x:v>
      </x:c>
      <x:c r="C7" s="5">
        <x:v>0.36825000000000002</x:v>
      </x:c>
      <x:c r="D7" s="5">
        <x:f t="shared" si="0"/>
        <x:v>0.53747</x:v>
      </x:c>
      <x:c r="E7" s="5" t="n">
        <x:v>0.04516</x:v>
      </x:c>
      <x:c r="F7" s="5" t="n">
        <x:v>0.0259</x:v>
      </x:c>
      <x:c r="G7" s="5" t="n">
        <x:f t="shared" si="1">E7+F7</x:f>
        <x:v>0.07106</x:v>
      </x:c>
    </x:row>
    <x:row r="8">
      <x:c r="A8" t="s">
        <x:v>10</x:v>
      </x:c>
      <x:c r="B8" s="5">
        <x:v>0.17243</x:v>
      </x:c>
      <x:c r="C8" s="5">
        <x:v>0.37054999999999999</x:v>
      </x:c>
      <x:c r="D8" s="5">
        <x:f t="shared" si="0"/>
        <x:v>0.54298000000000002</x:v>
      </x:c>
      <x:c r="E8" s="5" t="n">
        <x:v>0.044925</x:v>
      </x:c>
      <x:c r="F8" s="5" t="n">
        <x:v>0.026111</x:v>
      </x:c>
      <x:c r="G8" s="5" t="n">
        <x:f t="shared" si="1">E8+F8</x:f>
        <x:v>0.071036</x:v>
      </x:c>
    </x:row>
    <x:row r="9">
      <x:c r="A9" t="s">
        <x:v>11</x:v>
      </x:c>
      <x:c r="B9" s="5">
        <x:v>0.16305</x:v>
      </x:c>
      <x:c r="C9" s="5">
        <x:v>0.38572000000000001</x:v>
      </x:c>
      <x:c r="D9" s="5">
        <x:f t="shared" si="0"/>
        <x:v>0.54876999999999998</x:v>
      </x:c>
      <x:c r="E9" s="5" t="n">
        <x:v>0.044963</x:v>
      </x:c>
      <x:c r="F9" s="5" t="n">
        <x:v>0.026253</x:v>
      </x:c>
      <x:c r="G9" s="5" t="n">
        <x:f t="shared" si="1">E9+F9</x:f>
        <x:v>0.071216</x:v>
      </x:c>
    </x:row>
    <x:row r="10">
      <x:c r="A10" t="s">
        <x:v>12</x:v>
      </x:c>
      <x:c r="B10" s="5">
        <x:v>0.16664999999999999</x:v>
      </x:c>
      <x:c r="C10" s="5">
        <x:v>0.38679000000000002</x:v>
      </x:c>
      <x:c r="D10" s="5">
        <x:f t="shared" si="0"/>
        <x:v>0.55344000000000004</x:v>
      </x:c>
      <x:c r="E10" s="5" t="n">
        <x:v>0.045277</x:v>
      </x:c>
      <x:c r="F10" s="5" t="n">
        <x:v>0.026402</x:v>
      </x:c>
      <x:c r="G10" s="5" t="n">
        <x:f t="shared" si="1">E10+F10</x:f>
        <x:v>0.07167899999999999</x:v>
      </x:c>
    </x:row>
    <x:row r="11">
      <x:c r="B11" s="5"/>
      <x:c r="C11" s="5"/>
      <x:c r="D11" s="5"/>
      <x:c r="E11" s="5"/>
      <x:c r="F11" s="5"/>
      <x:c r="G11" s="5"/>
    </x:row>
    <x:row r="12" ht="16">
      <x:c r="A12" s="47" t="s">
        <x:v>121</x:v>
      </x:c>
      <x:c r="B12" s="47"/>
      <x:c r="C12" s="47"/>
      <x:c r="D12" s="47"/>
      <x:c r="E12" s="47"/>
      <x:c r="F12" s="47"/>
      <x:c r="G12" s="47"/>
    </x:row>
    <x:row r="13" ht="17">
      <x:c r="A13" s="17" t="s">
        <x:v>52</x:v>
      </x:c>
      <x:c r="B13" s="17" t="s">
        <x:v>53</x:v>
      </x:c>
      <x:c r="C13" s="17" t="s">
        <x:v>54</x:v>
      </x:c>
      <x:c r="D13" s="17" t="s">
        <x:v>55</x:v>
      </x:c>
      <x:c r="E13" s="17" t="s">
        <x:v>2</x:v>
      </x:c>
      <x:c r="F13" s="17" t="s">
        <x:v>3</x:v>
      </x:c>
      <x:c r="G13" s="17" t="s">
        <x:v>4</x:v>
      </x:c>
    </x:row>
    <x:row r="14" ht="46.25" customHeight="1">
      <x:c r="A14" s="18" t="s">
        <x:v>56</x:v>
      </x:c>
      <x:c r="B14" s="18" t="s">
        <x:v>122</x:v>
      </x:c>
      <x:c r="C14" s="18" t="s">
        <x:v>58</x:v>
      </x:c>
      <x:c r="D14" s="18" t="s">
        <x:v>123</x:v>
      </x:c>
      <x:c r="E14" s="19">
        <x:v>0.17239499999999999</x:v>
      </x:c>
      <x:c r="F14" s="19">
        <x:v>0.22742499999999999</x:v>
      </x:c>
      <x:c r="G14" s="19" t="n">
        <x:f t="shared" ref="G14:G20" si="2">IF(COUNT(E14:F14)=2,SUM(E14:F14),"")</x:f>
        <x:v>0.39981999999999995</x:v>
      </x:c>
    </x:row>
    <x:row r="15" ht="49.75" customHeight="1">
      <x:c r="A15" s="20" t="s">
        <x:v>60</x:v>
      </x:c>
      <x:c r="B15" s="20" t="s">
        <x:v>124</x:v>
      </x:c>
      <x:c r="C15" s="20" t="s">
        <x:v>61</x:v>
      </x:c>
      <x:c r="D15" s="20" t="s">
        <x:v>125</x:v>
      </x:c>
      <x:c r="E15" s="21">
        <x:v>0.16803000000000001</x:v>
      </x:c>
      <x:c r="F15" s="21">
        <x:v>0.31233</x:v>
      </x:c>
      <x:c r="G15" s="21">
        <x:f t="shared" si="2"/>
        <x:v>0.48036000000000001</x:v>
      </x:c>
    </x:row>
    <x:row r="16" ht="49.75" customHeight="1">
      <x:c r="A16" s="20" t="s">
        <x:v>63</x:v>
      </x:c>
      <x:c r="B16" s="20" t="s">
        <x:v>57</x:v>
      </x:c>
      <x:c r="C16" s="20" t="s">
        <x:v>64</x:v>
      </x:c>
      <x:c r="D16" s="20" t="s">
        <x:v>126</x:v>
      </x:c>
      <x:c r="E16" s="21">
        <x:v>0.16150999999999999</x:v>
      </x:c>
      <x:c r="F16" s="21">
        <x:v>0.35015000000000002</x:v>
      </x:c>
      <x:c r="G16" s="21">
        <x:f t="shared" si="2"/>
        <x:v>0.51166</x:v>
      </x:c>
    </x:row>
    <x:row r="17" ht="49.75" customHeight="1">
      <x:c r="A17" s="18" t="s">
        <x:v>66</x:v>
      </x:c>
      <x:c r="B17" s="18" t="s">
        <x:v>127</x:v>
      </x:c>
      <x:c r="C17" s="18" t="s">
        <x:v>67</x:v>
      </x:c>
      <x:c r="D17" s="18" t="s">
        <x:v>128</x:v>
      </x:c>
      <x:c r="E17" s="19">
        <x:v>0.16922000000000001</x:v>
      </x:c>
      <x:c r="F17" s="19">
        <x:v>0.36825000000000002</x:v>
      </x:c>
      <x:c r="G17" s="19">
        <x:f t="shared" si="2"/>
        <x:v>0.53747</x:v>
      </x:c>
    </x:row>
    <x:row r="18" ht="49.75" customHeight="1">
      <x:c r="A18" s="18" t="s">
        <x:v>69</x:v>
      </x:c>
      <x:c r="B18" s="18" t="s">
        <x:v>129</x:v>
      </x:c>
      <x:c r="C18" s="18" t="s">
        <x:v>20</x:v>
      </x:c>
      <x:c r="D18" s="18" t="s">
        <x:v>130</x:v>
      </x:c>
      <x:c r="E18" s="19">
        <x:v>0.17243</x:v>
      </x:c>
      <x:c r="F18" s="19">
        <x:v>0.37054999999999999</x:v>
      </x:c>
      <x:c r="G18" s="19">
        <x:f t="shared" si="2"/>
        <x:v>0.54298000000000002</x:v>
      </x:c>
    </x:row>
    <x:row r="19" ht="49.75" customHeight="1">
      <x:c r="A19" s="20" t="s">
        <x:v>71</x:v>
      </x:c>
      <x:c r="B19" s="20" t="s">
        <x:v>131</x:v>
      </x:c>
      <x:c r="C19" s="20" t="s">
        <x:v>26</x:v>
      </x:c>
      <x:c r="D19" s="20" t="s">
        <x:v>132</x:v>
      </x:c>
      <x:c r="E19" s="21">
        <x:v>0.16305</x:v>
      </x:c>
      <x:c r="F19" s="21">
        <x:v>0.38572000000000001</x:v>
      </x:c>
      <x:c r="G19" s="21">
        <x:f t="shared" si="2"/>
        <x:v>0.54876999999999998</x:v>
      </x:c>
    </x:row>
    <x:row r="20" ht="49.75" customHeight="1">
      <x:c r="A20" s="18" t="s">
        <x:v>73</x:v>
      </x:c>
      <x:c r="B20" s="18" t="s">
        <x:v>133</x:v>
      </x:c>
      <x:c r="C20" s="18" t="s">
        <x:v>30</x:v>
      </x:c>
      <x:c r="D20" s="18" t="s">
        <x:v>134</x:v>
      </x:c>
      <x:c r="E20" s="19">
        <x:v>0.16664999999999999</x:v>
      </x:c>
      <x:c r="F20" s="19">
        <x:v>0.38679000000000002</x:v>
      </x:c>
      <x:c r="G20" s="19">
        <x:f t="shared" si="2"/>
        <x:v>0.55344000000000004</x:v>
      </x:c>
    </x:row>
    <x:row r="21" ht="49.75" customHeight="1">
      <x:c r="A21" s="7"/>
      <x:c r="B21" s="7"/>
      <x:c r="C21" s="7"/>
      <x:c r="D21" s="7"/>
      <x:c r="E21" s="8"/>
      <x:c r="F21" s="8"/>
      <x:c r="G21" s="8"/>
    </x:row>
    <x:row r="22" ht="49.75" customHeight="1">
      <x:c r="A22" s="47" t="s">
        <x:v>75</x:v>
      </x:c>
      <x:c r="B22" s="47"/>
      <x:c r="C22" s="47"/>
      <x:c r="D22" s="47"/>
      <x:c r="E22" s="48"/>
      <x:c r="F22" s="48"/>
      <x:c r="G22" s="48"/>
    </x:row>
    <x:row r="23" ht="16">
      <x:c r="A23" s="17" t="s">
        <x:v>52</x:v>
      </x:c>
      <x:c r="B23" s="17" t="s">
        <x:v>76</x:v>
      </x:c>
      <x:c r="C23" s="17" t="s">
        <x:v>77</x:v>
      </x:c>
      <x:c r="D23" s="17" t="s">
        <x:v>78</x:v>
      </x:c>
      <x:c r="E23" s="22" t="s">
        <x:v>2</x:v>
      </x:c>
      <x:c r="F23" s="22" t="s">
        <x:v>3</x:v>
      </x:c>
      <x:c r="G23" s="22" t="s">
        <x:v>4</x:v>
      </x:c>
    </x:row>
    <x:row r="24" ht="46.25" customHeight="1">
      <x:c r="A24" s="23" t="s">
        <x:v>79</x:v>
      </x:c>
      <x:c r="B24" s="23" t="s">
        <x:v>80</x:v>
      </x:c>
      <x:c r="C24" s="23" t="s">
        <x:v>81</x:v>
      </x:c>
      <x:c r="D24" s="23" t="s">
        <x:v>82</x:v>
      </x:c>
      <x:c r="E24" s="24">
        <x:v>0.16808000000000001</x:v>
      </x:c>
      <x:c r="F24" s="24">
        <x:v>0.30301499999999998</x:v>
      </x:c>
      <x:c r="G24" s="24" t="n">
        <x:f>IF(COUNT(E24:F24)=2,SUM(E24:F24),"")</x:f>
        <x:v>0.471095</x:v>
      </x:c>
    </x:row>
    <x:row r="25" ht="49.75" customHeight="1">
      <x:c r="A25" s="23" t="s">
        <x:v>83</x:v>
      </x:c>
      <x:c r="B25" s="23" t="s">
        <x:v>80</x:v>
      </x:c>
      <x:c r="C25" s="23" t="s">
        <x:v>81</x:v>
      </x:c>
      <x:c r="D25" s="23" t="s">
        <x:v>82</x:v>
      </x:c>
      <x:c r="E25" s="24">
        <x:v>0.16497500000000001</x:v>
      </x:c>
      <x:c r="F25" s="24">
        <x:v>0.32697500000000002</x:v>
      </x:c>
      <x:c r="G25" s="24" t="n">
        <x:f>IF(COUNT(E25:F25)=2,SUM(E25:F25),"")</x:f>
        <x:v>0.49195</x:v>
      </x:c>
    </x:row>
    <x:row r="26" ht="49.75" customHeight="1">
      <x:c r="A26" s="23" t="s">
        <x:v>84</x:v>
      </x:c>
      <x:c r="B26" s="23" t="s">
        <x:v>80</x:v>
      </x:c>
      <x:c r="C26" s="23" t="s">
        <x:v>81</x:v>
      </x:c>
      <x:c r="D26" s="23" t="s">
        <x:v>82</x:v>
      </x:c>
      <x:c r="E26" s="24">
        <x:v>0.16616</x:v>
      </x:c>
      <x:c r="F26" s="24">
        <x:v>0.50234000000000001</x:v>
      </x:c>
      <x:c r="G26" s="24" t="n">
        <x:f>IF(COUNT(E26:F26)=2,SUM(E26:F26),"")</x:f>
        <x:v>0.6685</x:v>
      </x:c>
    </x:row>
    <x:row r="27" ht="49.75" customHeight="1">
      <x:c r="A27" s="7" t="s">
        <x:v>84</x:v>
      </x:c>
      <x:c r="B27" s="7" t="s">
        <x:v>80</x:v>
      </x:c>
      <x:c r="C27" s="7" t="s">
        <x:v>135</x:v>
      </x:c>
      <x:c r="D27" s="7" t="s">
        <x:v>136</x:v>
      </x:c>
      <x:c r="E27" s="8">
        <x:v>0.16305</x:v>
      </x:c>
      <x:c r="F27" s="8">
        <x:v>0.49490000000000001</x:v>
      </x:c>
      <x:c r="G27" s="8" t="n">
        <x:f>IF(COUNT(E27:F27)=2,SUM(E27:F27),"")</x:f>
        <x:v>0.65795</x:v>
      </x:c>
    </x:row>
    <x:row r="28" ht="49.75" customHeight="1">
      <x:c r="A28" s="49" t="s">
        <x:v>137</x:v>
      </x:c>
      <x:c r="B28" s="50"/>
      <x:c r="C28" s="50"/>
      <x:c r="D28" s="50"/>
      <x:c r="E28" s="50"/>
      <x:c r="F28" s="50"/>
      <x:c r="G28" s="71"/>
    </x:row>
    <x:row r="29">
      <x:c r="A29" s="53"/>
      <x:c r="B29" s="54"/>
      <x:c r="C29" s="54"/>
      <x:c r="D29" s="54"/>
      <x:c r="E29" s="54"/>
      <x:c r="F29" s="54"/>
      <x:c r="G29" s="72"/>
    </x:row>
    <x:row r="30" ht="60.25" customHeight="1">
      <x:c r="A30" s="35" t="s">
        <x:v>138</x:v>
      </x:c>
      <x:c r="B30" s="35"/>
      <x:c r="C30" s="35"/>
      <x:c r="D30" s="35"/>
      <x:c r="E30" s="35"/>
      <x:c r="F30" s="35"/>
      <x:c r="G30" s="35"/>
    </x:row>
    <x:row r="31" ht="60.25" customHeight="1">
      <x:c r="A31" s="7"/>
      <x:c r="B31" s="5"/>
      <x:c r="C31" s="5"/>
      <x:c r="D31" s="5"/>
      <x:c r="E31" s="5"/>
      <x:c r="F31" s="5"/>
      <x:c r="G31" s="5"/>
    </x:row>
    <x:row r="32" ht="49.75" customHeight="1">
      <x:c r="A32" s="7"/>
      <x:c r="B32" s="5"/>
      <x:c r="C32" s="5"/>
      <x:c r="D32" s="5"/>
      <x:c r="E32" s="5"/>
      <x:c r="F32" s="5"/>
      <x:c r="G32" s="5"/>
    </x:row>
    <x:row r="33" ht="71" customHeight="1"/>
    <x:row r="34" ht="71" customHeight="1">
      <x:c r="A34" s="37"/>
      <x:c r="B34" s="37"/>
      <x:c r="C34" s="37"/>
      <x:c r="D34" s="37"/>
      <x:c r="E34" s="37"/>
      <x:c r="F34" s="37"/>
      <x:c r="G34" s="37"/>
    </x:row>
    <x:row r="36" ht="99.75" customHeight="1"/>
  </x:sheetData>
  <x:mergeCells>
    <x:mergeCell ref="A34:G34"/>
    <x:mergeCell ref="A3:G3"/>
    <x:mergeCell ref="A12:G12"/>
    <x:mergeCell ref="A22:G22"/>
    <x:mergeCell ref="A28:G29"/>
    <x:mergeCell ref="A30:G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sheetData>
    <x:row r="2">
      <x:c r="A2" t="s">
        <x:v>139</x:v>
      </x:c>
    </x:row>
    <x:row r="3">
      <x:c r="A3" t="s">
        <x:v>140</x:v>
      </x:c>
    </x:row>
    <x:row r="8">
      <x:c r="A8" t="s">
        <x:v>141</x:v>
      </x:c>
      <x:c r="F8" t="s">
        <x:v>142</x:v>
      </x:c>
      <x:c r="K8" t="s">
        <x:v>143</x:v>
      </x:c>
    </x:row>
    <x:row r="9">
      <x:c r="A9" t="s">
        <x:v>144</x:v>
      </x:c>
      <x:c r="B9" t="s">
        <x:v>145</x:v>
      </x:c>
      <x:c r="C9" t="s">
        <x:v>146</x:v>
      </x:c>
      <x:c r="F9" t="s">
        <x:v>144</x:v>
      </x:c>
      <x:c r="G9" t="s">
        <x:v>145</x:v>
      </x:c>
      <x:c r="H9" t="s">
        <x:v>146</x:v>
      </x:c>
      <x:c r="K9" t="s">
        <x:v>144</x:v>
      </x:c>
      <x:c r="L9" t="s">
        <x:v>145</x:v>
      </x:c>
      <x:c r="M9" t="s">
        <x:v>146</x:v>
      </x:c>
    </x:row>
    <x:row r="10">
      <x:c r="A10">
        <x:v>0.03</x:v>
      </x:c>
      <x:c r="B10">
        <x:v>0</x:v>
      </x:c>
      <x:c r="C10">
        <x:v>0</x:v>
      </x:c>
      <x:c r="F10">
        <x:v>0.03</x:v>
      </x:c>
      <x:c r="G10">
        <x:v>0</x:v>
      </x:c>
      <x:c r="H10">
        <x:v>0</x:v>
      </x:c>
      <x:c r="K10">
        <x:v>0.03</x:v>
      </x:c>
      <x:c r="L10">
        <x:v>0</x:v>
      </x:c>
      <x:c r="M10">
        <x:v>0</x:v>
      </x:c>
    </x:row>
    <x:row r="11">
      <x:c r="A11">
        <x:v>0.09</x:v>
      </x:c>
      <x:c r="B11">
        <x:v>0</x:v>
      </x:c>
      <x:c r="C11">
        <x:v>0</x:v>
      </x:c>
      <x:c r="F11">
        <x:v>0.09</x:v>
      </x:c>
      <x:c r="G11">
        <x:v>0</x:v>
      </x:c>
      <x:c r="H11">
        <x:v>0</x:v>
      </x:c>
      <x:c r="K11">
        <x:v>0.09</x:v>
      </x:c>
      <x:c r="L11">
        <x:v>0</x:v>
      </x:c>
      <x:c r="M11">
        <x:v>0</x:v>
      </x:c>
    </x:row>
    <x:row r="12">
      <x:c r="A12">
        <x:v>0.15</x:v>
      </x:c>
      <x:c r="B12">
        <x:v>0</x:v>
      </x:c>
      <x:c r="C12">
        <x:v>0</x:v>
      </x:c>
      <x:c r="F12">
        <x:v>0.15</x:v>
      </x:c>
      <x:c r="G12">
        <x:v>0</x:v>
      </x:c>
      <x:c r="H12">
        <x:v>0</x:v>
      </x:c>
      <x:c r="K12">
        <x:v>0.15</x:v>
      </x:c>
      <x:c r="L12">
        <x:v>0</x:v>
      </x:c>
      <x:c r="M12">
        <x:v>0</x:v>
      </x:c>
    </x:row>
    <x:row r="13">
      <x:c r="A13">
        <x:v>0.21</x:v>
      </x:c>
      <x:c r="B13">
        <x:v>0</x:v>
      </x:c>
      <x:c r="C13">
        <x:v>0</x:v>
      </x:c>
      <x:c r="F13">
        <x:v>0.21</x:v>
      </x:c>
      <x:c r="G13">
        <x:v>0</x:v>
      </x:c>
      <x:c r="H13">
        <x:v>0</x:v>
      </x:c>
      <x:c r="K13">
        <x:v>0.21</x:v>
      </x:c>
      <x:c r="L13">
        <x:v>0</x:v>
      </x:c>
      <x:c r="M13">
        <x:v>0</x:v>
      </x:c>
    </x:row>
    <x:row r="14">
      <x:c r="A14">
        <x:v>0.27</x:v>
      </x:c>
      <x:c r="B14">
        <x:v>0</x:v>
      </x:c>
      <x:c r="C14">
        <x:v>0</x:v>
      </x:c>
      <x:c r="F14">
        <x:v>0.27</x:v>
      </x:c>
      <x:c r="G14">
        <x:v>0</x:v>
      </x:c>
      <x:c r="H14">
        <x:v>0</x:v>
      </x:c>
      <x:c r="K14">
        <x:v>0.27</x:v>
      </x:c>
      <x:c r="L14">
        <x:v>0</x:v>
      </x:c>
      <x:c r="M14">
        <x:v>0</x:v>
      </x:c>
    </x:row>
    <x:row r="15">
      <x:c r="A15">
        <x:v>0.33</x:v>
      </x:c>
      <x:c r="B15">
        <x:v>0</x:v>
      </x:c>
      <x:c r="C15">
        <x:v>0</x:v>
      </x:c>
      <x:c r="F15">
        <x:v>0.33</x:v>
      </x:c>
      <x:c r="G15">
        <x:v>0</x:v>
      </x:c>
      <x:c r="H15">
        <x:v>0</x:v>
      </x:c>
      <x:c r="K15">
        <x:v>0.33</x:v>
      </x:c>
      <x:c r="L15">
        <x:v>0</x:v>
      </x:c>
      <x:c r="M15">
        <x:v>0</x:v>
      </x:c>
    </x:row>
    <x:row r="16">
      <x:c r="A16">
        <x:v>0.39</x:v>
      </x:c>
      <x:c r="B16">
        <x:v>0</x:v>
      </x:c>
      <x:c r="C16">
        <x:v>0</x:v>
      </x:c>
      <x:c r="F16">
        <x:v>0.39</x:v>
      </x:c>
      <x:c r="G16">
        <x:v>0</x:v>
      </x:c>
      <x:c r="H16">
        <x:v>0</x:v>
      </x:c>
      <x:c r="K16">
        <x:v>0.39</x:v>
      </x:c>
      <x:c r="L16">
        <x:v>0</x:v>
      </x:c>
      <x:c r="M16">
        <x:v>0</x:v>
      </x:c>
    </x:row>
    <x:row r="17">
      <x:c r="A17">
        <x:v>0.45</x:v>
      </x:c>
      <x:c r="B17">
        <x:v>0</x:v>
      </x:c>
      <x:c r="C17">
        <x:v>0</x:v>
      </x:c>
      <x:c r="F17">
        <x:v>0.45</x:v>
      </x:c>
      <x:c r="G17">
        <x:v>0</x:v>
      </x:c>
      <x:c r="H17">
        <x:v>0</x:v>
      </x:c>
      <x:c r="K17">
        <x:v>0.45</x:v>
      </x:c>
      <x:c r="L17">
        <x:v>0</x:v>
      </x:c>
      <x:c r="M17">
        <x:v>0</x:v>
      </x:c>
    </x:row>
    <x:row r="18">
      <x:c r="A18">
        <x:v>0.51</x:v>
      </x:c>
      <x:c r="B18">
        <x:v>0</x:v>
      </x:c>
      <x:c r="C18">
        <x:v>0</x:v>
      </x:c>
      <x:c r="F18">
        <x:v>0.51</x:v>
      </x:c>
      <x:c r="G18">
        <x:v>0</x:v>
      </x:c>
      <x:c r="H18">
        <x:v>0</x:v>
      </x:c>
      <x:c r="K18">
        <x:v>0.51</x:v>
      </x:c>
      <x:c r="L18">
        <x:v>0</x:v>
      </x:c>
      <x:c r="M18">
        <x:v>0</x:v>
      </x:c>
    </x:row>
    <x:row r="19">
      <x:c r="A19">
        <x:v>0.56999999999999995</x:v>
      </x:c>
      <x:c r="B19">
        <x:v>0</x:v>
      </x:c>
      <x:c r="C19">
        <x:v>0</x:v>
      </x:c>
      <x:c r="F19">
        <x:v>0.56999999999999995</x:v>
      </x:c>
      <x:c r="G19">
        <x:v>0</x:v>
      </x:c>
      <x:c r="H19">
        <x:v>0</x:v>
      </x:c>
      <x:c r="K19">
        <x:v>0.56999999999999995</x:v>
      </x:c>
      <x:c r="L19">
        <x:v>0</x:v>
      </x:c>
      <x:c r="M19">
        <x:v>0</x:v>
      </x:c>
    </x:row>
    <x:row r="20">
      <x:c r="A20">
        <x:v>0.63</x:v>
      </x:c>
      <x:c r="B20">
        <x:v>0</x:v>
      </x:c>
      <x:c r="C20">
        <x:v>0</x:v>
      </x:c>
      <x:c r="F20">
        <x:v>0.63</x:v>
      </x:c>
      <x:c r="G20">
        <x:v>0</x:v>
      </x:c>
      <x:c r="H20">
        <x:v>0</x:v>
      </x:c>
      <x:c r="K20">
        <x:v>0.63</x:v>
      </x:c>
      <x:c r="L20">
        <x:v>0</x:v>
      </x:c>
      <x:c r="M20">
        <x:v>0</x:v>
      </x:c>
    </x:row>
    <x:row r="21">
      <x:c r="A21">
        <x:v>0.69</x:v>
      </x:c>
      <x:c r="B21">
        <x:v>0</x:v>
      </x:c>
      <x:c r="C21">
        <x:v>0</x:v>
      </x:c>
      <x:c r="F21">
        <x:v>0.69</x:v>
      </x:c>
      <x:c r="G21">
        <x:v>0</x:v>
      </x:c>
      <x:c r="H21">
        <x:v>0</x:v>
      </x:c>
      <x:c r="K21">
        <x:v>0.69</x:v>
      </x:c>
      <x:c r="L21">
        <x:v>0</x:v>
      </x:c>
      <x:c r="M21">
        <x:v>0</x:v>
      </x:c>
    </x:row>
    <x:row r="22">
      <x:c r="A22">
        <x:v>0.75</x:v>
      </x:c>
      <x:c r="B22">
        <x:v>0</x:v>
      </x:c>
      <x:c r="C22">
        <x:v>0</x:v>
      </x:c>
      <x:c r="F22">
        <x:v>0.75</x:v>
      </x:c>
      <x:c r="G22">
        <x:v>0</x:v>
      </x:c>
      <x:c r="H22">
        <x:v>0</x:v>
      </x:c>
      <x:c r="K22">
        <x:v>0.75</x:v>
      </x:c>
      <x:c r="L22">
        <x:v>0</x:v>
      </x:c>
      <x:c r="M22">
        <x:v>0</x:v>
      </x:c>
    </x:row>
    <x:row r="23">
      <x:c r="A23">
        <x:v>0.81</x:v>
      </x:c>
      <x:c r="B23">
        <x:v>0</x:v>
      </x:c>
      <x:c r="C23">
        <x:v>0</x:v>
      </x:c>
      <x:c r="F23">
        <x:v>0.81</x:v>
      </x:c>
      <x:c r="G23">
        <x:v>0</x:v>
      </x:c>
      <x:c r="H23">
        <x:v>0</x:v>
      </x:c>
      <x:c r="K23">
        <x:v>0.81</x:v>
      </x:c>
      <x:c r="L23">
        <x:v>0</x:v>
      </x:c>
      <x:c r="M23">
        <x:v>0</x:v>
      </x:c>
    </x:row>
    <x:row r="24">
      <x:c r="A24">
        <x:v>0.87</x:v>
      </x:c>
      <x:c r="B24">
        <x:v>0</x:v>
      </x:c>
      <x:c r="C24">
        <x:v>0</x:v>
      </x:c>
      <x:c r="F24">
        <x:v>0.87</x:v>
      </x:c>
      <x:c r="G24">
        <x:v>0</x:v>
      </x:c>
      <x:c r="H24">
        <x:v>0</x:v>
      </x:c>
      <x:c r="K24">
        <x:v>0.87</x:v>
      </x:c>
      <x:c r="L24">
        <x:v>0</x:v>
      </x:c>
      <x:c r="M24">
        <x:v>0</x:v>
      </x:c>
    </x:row>
    <x:row r="25">
      <x:c r="A25">
        <x:v>0.93</x:v>
      </x:c>
      <x:c r="B25">
        <x:v>0</x:v>
      </x:c>
      <x:c r="C25">
        <x:v>0</x:v>
      </x:c>
      <x:c r="F25">
        <x:v>0.93</x:v>
      </x:c>
      <x:c r="G25">
        <x:v>0</x:v>
      </x:c>
      <x:c r="H25">
        <x:v>0</x:v>
      </x:c>
      <x:c r="K25">
        <x:v>0.93</x:v>
      </x:c>
      <x:c r="L25">
        <x:v>0</x:v>
      </x:c>
      <x:c r="M25">
        <x:v>0</x:v>
      </x:c>
    </x:row>
    <x:row r="26">
      <x:c r="A26">
        <x:v>0.99</x:v>
      </x:c>
      <x:c r="B26">
        <x:v>0</x:v>
      </x:c>
      <x:c r="C26">
        <x:v>0</x:v>
      </x:c>
      <x:c r="F26">
        <x:v>0.99</x:v>
      </x:c>
      <x:c r="G26">
        <x:v>0</x:v>
      </x:c>
      <x:c r="H26">
        <x:v>0</x:v>
      </x:c>
      <x:c r="K26">
        <x:v>0.99</x:v>
      </x:c>
      <x:c r="L26">
        <x:v>0</x:v>
      </x:c>
      <x:c r="M26">
        <x:v>0</x:v>
      </x:c>
    </x:row>
    <x:row r="27">
      <x:c r="A27">
        <x:v>1.05</x:v>
      </x:c>
      <x:c r="B27">
        <x:v>0</x:v>
      </x:c>
      <x:c r="C27">
        <x:v>0</x:v>
      </x:c>
      <x:c r="F27">
        <x:v>1.05</x:v>
      </x:c>
      <x:c r="G27">
        <x:v>0</x:v>
      </x:c>
      <x:c r="H27">
        <x:v>0</x:v>
      </x:c>
      <x:c r="K27">
        <x:v>1.05</x:v>
      </x:c>
      <x:c r="L27">
        <x:v>0</x:v>
      </x:c>
      <x:c r="M27">
        <x:v>0</x:v>
      </x:c>
    </x:row>
    <x:row r="28">
      <x:c r="A28">
        <x:v>1.1100000000000001</x:v>
      </x:c>
      <x:c r="B28">
        <x:v>0</x:v>
      </x:c>
      <x:c r="C28">
        <x:v>0</x:v>
      </x:c>
      <x:c r="F28">
        <x:v>1.1100000000000001</x:v>
      </x:c>
      <x:c r="G28">
        <x:v>0</x:v>
      </x:c>
      <x:c r="H28">
        <x:v>0</x:v>
      </x:c>
      <x:c r="K28">
        <x:v>1.1100000000000001</x:v>
      </x:c>
      <x:c r="L28">
        <x:v>0</x:v>
      </x:c>
      <x:c r="M28">
        <x:v>0</x:v>
      </x:c>
    </x:row>
    <x:row r="29">
      <x:c r="A29">
        <x:v>1.17</x:v>
      </x:c>
      <x:c r="B29">
        <x:v>0</x:v>
      </x:c>
      <x:c r="C29">
        <x:v>0</x:v>
      </x:c>
      <x:c r="F29">
        <x:v>1.17</x:v>
      </x:c>
      <x:c r="G29">
        <x:v>0</x:v>
      </x:c>
      <x:c r="H29">
        <x:v>0</x:v>
      </x:c>
      <x:c r="K29">
        <x:v>1.17</x:v>
      </x:c>
      <x:c r="L29">
        <x:v>0</x:v>
      </x:c>
      <x:c r="M29">
        <x:v>0</x:v>
      </x:c>
    </x:row>
    <x:row r="30">
      <x:c r="A30">
        <x:v>1.23</x:v>
      </x:c>
      <x:c r="B30">
        <x:v>0</x:v>
      </x:c>
      <x:c r="C30">
        <x:v>0</x:v>
      </x:c>
      <x:c r="F30">
        <x:v>1.23</x:v>
      </x:c>
      <x:c r="G30">
        <x:v>0</x:v>
      </x:c>
      <x:c r="H30">
        <x:v>0</x:v>
      </x:c>
      <x:c r="K30">
        <x:v>1.23</x:v>
      </x:c>
      <x:c r="L30">
        <x:v>0</x:v>
      </x:c>
      <x:c r="M30">
        <x:v>0</x:v>
      </x:c>
    </x:row>
    <x:row r="31">
      <x:c r="A31">
        <x:v>1.29</x:v>
      </x:c>
      <x:c r="B31">
        <x:v>0</x:v>
      </x:c>
      <x:c r="C31">
        <x:v>0</x:v>
      </x:c>
      <x:c r="F31">
        <x:v>1.29</x:v>
      </x:c>
      <x:c r="G31">
        <x:v>0</x:v>
      </x:c>
      <x:c r="H31">
        <x:v>0</x:v>
      </x:c>
      <x:c r="K31">
        <x:v>1.29</x:v>
      </x:c>
      <x:c r="L31">
        <x:v>1.3742600000000001E-4</x:v>
      </x:c>
      <x:c r="M31">
        <x:v>0</x:v>
      </x:c>
    </x:row>
    <x:row r="32">
      <x:c r="A32">
        <x:v>1.35</x:v>
      </x:c>
      <x:c r="B32">
        <x:v>0</x:v>
      </x:c>
      <x:c r="C32">
        <x:v>0</x:v>
      </x:c>
      <x:c r="F32">
        <x:v>1.35</x:v>
      </x:c>
      <x:c r="G32">
        <x:v>4.4815000000000002E-6</x:v>
      </x:c>
      <x:c r="H32">
        <x:v>0</x:v>
      </x:c>
      <x:c r="K32">
        <x:v>1.35</x:v>
      </x:c>
      <x:c r="L32">
        <x:v>2.68894E-5</x:v>
      </x:c>
      <x:c r="M32">
        <x:v>3.1370900000000001E-5</x:v>
      </x:c>
    </x:row>
    <x:row r="33">
      <x:c r="A33">
        <x:v>1.41</x:v>
      </x:c>
      <x:c r="B33">
        <x:v>0</x:v>
      </x:c>
      <x:c r="C33">
        <x:v>0</x:v>
      </x:c>
      <x:c r="F33">
        <x:v>1.41</x:v>
      </x:c>
      <x:c r="G33">
        <x:v>1.3557200000000001E-4</x:v>
      </x:c>
      <x:c r="H33">
        <x:v>1.15031E-4</x:v>
      </x:c>
      <x:c r="K33">
        <x:v>1.41</x:v>
      </x:c>
      <x:c r="L33">
        <x:v>1.4789999999999999E-4</x:v>
      </x:c>
      <x:c r="M33">
        <x:v>1.5611600000000001E-4</x:v>
      </x:c>
    </x:row>
    <x:row r="34">
      <x:c r="A34">
        <x:v>1.47</x:v>
      </x:c>
      <x:c r="B34">
        <x:v>0</x:v>
      </x:c>
      <x:c r="C34">
        <x:v>0</x:v>
      </x:c>
      <x:c r="F34">
        <x:v>1.47</x:v>
      </x:c>
      <x:c r="G34">
        <x:v>8.1038099999999995E-3</x:v>
      </x:c>
      <x:c r="H34">
        <x:v>7.1021699999999997E-3</x:v>
      </x:c>
      <x:c r="K34">
        <x:v>1.47</x:v>
      </x:c>
      <x:c r="L34">
        <x:v>5.48077E-4</x:v>
      </x:c>
      <x:c r="M34">
        <x:v>5.5941599999999997E-4</x:v>
      </x:c>
    </x:row>
    <x:row r="35">
      <x:c r="A35">
        <x:v>1.53</x:v>
      </x:c>
      <x:c r="B35">
        <x:v>0</x:v>
      </x:c>
      <x:c r="C35">
        <x:v>0</x:v>
      </x:c>
      <x:c r="F35">
        <x:v>1.53</x:v>
      </x:c>
      <x:c r="G35">
        <x:v>9.3568799999999994E-2</x:v>
      </x:c>
      <x:c r="H35">
        <x:v>8.1757999999999997E-2</x:v>
      </x:c>
      <x:c r="K35">
        <x:v>1.53</x:v>
      </x:c>
      <x:c r="L35">
        <x:v>2.7634700000000001E-3</x:v>
      </x:c>
      <x:c r="M35">
        <x:v>2.4494400000000002E-3</x:v>
      </x:c>
    </x:row>
    <x:row r="36">
      <x:c r="A36">
        <x:v>1.59</x:v>
      </x:c>
      <x:c r="B36">
        <x:v>0</x:v>
      </x:c>
      <x:c r="C36">
        <x:v>0</x:v>
      </x:c>
      <x:c r="F36">
        <x:v>1.59</x:v>
      </x:c>
      <x:c r="G36">
        <x:v>0.41056700000000002</x:v>
      </x:c>
      <x:c r="H36">
        <x:v>0.38565700000000003</x:v>
      </x:c>
      <x:c r="K36">
        <x:v>1.59</x:v>
      </x:c>
      <x:c r="L36">
        <x:v>8.5295600000000003E-3</x:v>
      </x:c>
      <x:c r="M36">
        <x:v>8.6038699999999996E-3</x:v>
      </x:c>
    </x:row>
    <x:row r="37">
      <x:c r="A37">
        <x:v>1.65</x:v>
      </x:c>
      <x:c r="B37">
        <x:v>0</x:v>
      </x:c>
      <x:c r="C37">
        <x:v>0</x:v>
      </x:c>
      <x:c r="F37">
        <x:v>1.65</x:v>
      </x:c>
      <x:c r="G37">
        <x:v>0.96120399999999995</x:v>
      </x:c>
      <x:c r="H37">
        <x:v>0.94196100000000005</x:v>
      </x:c>
      <x:c r="K37">
        <x:v>1.65</x:v>
      </x:c>
      <x:c r="L37">
        <x:v>2.3647700000000001E-2</x:v>
      </x:c>
      <x:c r="M37">
        <x:v>2.3197700000000002E-2</x:v>
      </x:c>
    </x:row>
    <x:row r="38">
      <x:c r="A38">
        <x:v>1.71</x:v>
      </x:c>
      <x:c r="B38">
        <x:v>0</x:v>
      </x:c>
      <x:c r="C38">
        <x:v>0</x:v>
      </x:c>
      <x:c r="F38">
        <x:v>1.71</x:v>
      </x:c>
      <x:c r="G38">
        <x:v>1.4338299999999999</x:v>
      </x:c>
      <x:c r="H38">
        <x:v>1.44476</x:v>
      </x:c>
      <x:c r="K38">
        <x:v>1.71</x:v>
      </x:c>
      <x:c r="L38">
        <x:v>5.51694E-2</x:v>
      </x:c>
      <x:c r="M38">
        <x:v>5.43873E-2</x:v>
      </x:c>
    </x:row>
    <x:row r="39">
      <x:c r="A39">
        <x:v>1.77</x:v>
      </x:c>
      <x:c r="B39">
        <x:v>0</x:v>
      </x:c>
      <x:c r="C39">
        <x:v>0</x:v>
      </x:c>
      <x:c r="F39">
        <x:v>1.77</x:v>
      </x:c>
      <x:c r="G39">
        <x:v>1.5988800000000001</x:v>
      </x:c>
      <x:c r="H39">
        <x:v>1.6308499999999999</x:v>
      </x:c>
      <x:c r="K39">
        <x:v>1.77</x:v>
      </x:c>
      <x:c r="L39">
        <x:v>0.110737</x:v>
      </x:c>
      <x:c r="M39">
        <x:v>0.108928</x:v>
      </x:c>
    </x:row>
    <x:row r="40">
      <x:c r="A40">
        <x:v>1.83</x:v>
      </x:c>
      <x:c r="B40">
        <x:v>0</x:v>
      </x:c>
      <x:c r="C40">
        <x:v>0</x:v>
      </x:c>
      <x:c r="F40">
        <x:v>1.83</x:v>
      </x:c>
      <x:c r="G40">
        <x:v>1.4617199999999999</x:v>
      </x:c>
      <x:c r="H40">
        <x:v>1.50719</x:v>
      </x:c>
      <x:c r="K40">
        <x:v>1.83</x:v>
      </x:c>
      <x:c r="L40">
        <x:v>0.20128799999999999</x:v>
      </x:c>
      <x:c r="M40">
        <x:v>0.195273</x:v>
      </x:c>
    </x:row>
    <x:row r="41">
      <x:c r="A41">
        <x:v>1.89</x:v>
      </x:c>
      <x:c r="B41">
        <x:v>0</x:v>
      </x:c>
      <x:c r="C41">
        <x:v>0</x:v>
      </x:c>
      <x:c r="F41">
        <x:v>1.89</x:v>
      </x:c>
      <x:c r="G41">
        <x:v>1.20383</x:v>
      </x:c>
      <x:c r="H41">
        <x:v>1.2262900000000001</x:v>
      </x:c>
      <x:c r="K41">
        <x:v>1.89</x:v>
      </x:c>
      <x:c r="L41">
        <x:v>0.318992</x:v>
      </x:c>
      <x:c r="M41">
        <x:v>0.31426300000000001</x:v>
      </x:c>
    </x:row>
    <x:row r="42">
      <x:c r="A42">
        <x:v>1.95</x:v>
      </x:c>
      <x:c r="B42">
        <x:v>0</x:v>
      </x:c>
      <x:c r="C42">
        <x:v>0</x:v>
      </x:c>
      <x:c r="F42">
        <x:v>1.95</x:v>
      </x:c>
      <x:c r="G42">
        <x:v>0.91536600000000001</x:v>
      </x:c>
      <x:c r="H42">
        <x:v>0.93037099999999995</x:v>
      </x:c>
      <x:c r="K42">
        <x:v>1.95</x:v>
      </x:c>
      <x:c r="L42">
        <x:v>0.46878199999999998</x:v>
      </x:c>
      <x:c r="M42">
        <x:v>0.46176400000000001</x:v>
      </x:c>
    </x:row>
    <x:row r="43">
      <x:c r="A43">
        <x:v>2.0099999999999998</x:v>
      </x:c>
      <x:c r="B43">
        <x:v>0</x:v>
      </x:c>
      <x:c r="C43">
        <x:v>0</x:v>
      </x:c>
      <x:c r="F43">
        <x:v>2.0099999999999998</x:v>
      </x:c>
      <x:c r="G43">
        <x:v>0.67995499999999998</x:v>
      </x:c>
      <x:c r="H43">
        <x:v>0.68406900000000004</x:v>
      </x:c>
      <x:c r="K43">
        <x:v>2.0099999999999998</x:v>
      </x:c>
      <x:c r="L43">
        <x:v>0.638984</x:v>
      </x:c>
      <x:c r="M43">
        <x:v>0.62932600000000005</x:v>
      </x:c>
    </x:row>
    <x:row r="44">
      <x:c r="A44">
        <x:v>2.0699999999999998</x:v>
      </x:c>
      <x:c r="B44">
        <x:v>0</x:v>
      </x:c>
      <x:c r="C44">
        <x:v>0</x:v>
      </x:c>
      <x:c r="F44">
        <x:v>2.0699999999999998</x:v>
      </x:c>
      <x:c r="G44">
        <x:v>0.50128300000000003</x:v>
      </x:c>
      <x:c r="H44">
        <x:v>0.50086900000000001</x:v>
      </x:c>
      <x:c r="K44">
        <x:v>2.0699999999999998</x:v>
      </x:c>
      <x:c r="L44">
        <x:v>0.811056</x:v>
      </x:c>
      <x:c r="M44">
        <x:v>0.808724</x:v>
      </x:c>
    </x:row>
    <x:row r="45">
      <x:c r="A45">
        <x:v>2.13</x:v>
      </x:c>
      <x:c r="B45">
        <x:v>0</x:v>
      </x:c>
      <x:c r="C45">
        <x:v>0</x:v>
      </x:c>
      <x:c r="F45">
        <x:v>2.13</x:v>
      </x:c>
      <x:c r="G45">
        <x:v>0.37754799999999999</x:v>
      </x:c>
      <x:c r="H45">
        <x:v>0.37065199999999998</x:v>
      </x:c>
      <x:c r="K45">
        <x:v>2.13</x:v>
      </x:c>
      <x:c r="L45">
        <x:v>0.98157799999999995</x:v>
      </x:c>
      <x:c r="M45">
        <x:v>0.97925200000000001</x:v>
      </x:c>
    </x:row>
    <x:row r="46">
      <x:c r="A46">
        <x:v>2.19</x:v>
      </x:c>
      <x:c r="B46">
        <x:v>0</x:v>
      </x:c>
      <x:c r="C46">
        <x:v>0</x:v>
      </x:c>
      <x:c r="F46">
        <x:v>2.19</x:v>
      </x:c>
      <x:c r="G46">
        <x:v>0.292377</x:v>
      </x:c>
      <x:c r="H46">
        <x:v>0.28489700000000001</x:v>
      </x:c>
      <x:c r="K46">
        <x:v>2.19</x:v>
      </x:c>
      <x:c r="L46">
        <x:v>1.1281300000000001</x:v>
      </x:c>
      <x:c r="M46">
        <x:v>1.1328</x:v>
      </x:c>
    </x:row>
    <x:row r="47">
      <x:c r="A47">
        <x:v>2.25</x:v>
      </x:c>
      <x:c r="B47">
        <x:v>0</x:v>
      </x:c>
      <x:c r="C47">
        <x:v>0</x:v>
      </x:c>
      <x:c r="F47">
        <x:v>2.25</x:v>
      </x:c>
      <x:c r="G47">
        <x:v>0.23737800000000001</x:v>
      </x:c>
      <x:c r="H47">
        <x:v>0.230932</x:v>
      </x:c>
      <x:c r="K47">
        <x:v>2.25</x:v>
      </x:c>
      <x:c r="L47">
        <x:v>1.24841</x:v>
      </x:c>
      <x:c r="M47">
        <x:v>1.2557199999999999</x:v>
      </x:c>
    </x:row>
    <x:row r="48">
      <x:c r="A48">
        <x:v>2.31</x:v>
      </x:c>
      <x:c r="B48">
        <x:v>0</x:v>
      </x:c>
      <x:c r="C48">
        <x:v>0</x:v>
      </x:c>
      <x:c r="F48">
        <x:v>2.31</x:v>
      </x:c>
      <x:c r="G48">
        <x:v>0.20508699999999999</x:v>
      </x:c>
      <x:c r="H48">
        <x:v>0.19597400000000001</x:v>
      </x:c>
      <x:c r="K48">
        <x:v>2.31</x:v>
      </x:c>
      <x:c r="L48">
        <x:v>1.3253600000000001</x:v>
      </x:c>
      <x:c r="M48">
        <x:v>1.33412</x:v>
      </x:c>
    </x:row>
    <x:row r="49">
      <x:c r="A49">
        <x:v>2.37</x:v>
      </x:c>
      <x:c r="B49">
        <x:v>1.16345E-5</x:v>
      </x:c>
      <x:c r="C49">
        <x:v>1.16345E-5</x:v>
      </x:c>
      <x:c r="F49">
        <x:v>2.37</x:v>
      </x:c>
      <x:c r="G49">
        <x:v>0.18566299999999999</x:v>
      </x:c>
      <x:c r="H49">
        <x:v>0.17943400000000001</x:v>
      </x:c>
      <x:c r="K49">
        <x:v>2.37</x:v>
      </x:c>
      <x:c r="L49">
        <x:v>1.3502799999999999</x:v>
      </x:c>
      <x:c r="M49">
        <x:v>1.36721</x:v>
      </x:c>
    </x:row>
    <x:row r="50">
      <x:c r="A50">
        <x:v>2.4300000000000002</x:v>
      </x:c>
      <x:c r="B50">
        <x:v>2.61736E-3</x:v>
      </x:c>
      <x:c r="C50">
        <x:v>2.24661E-3</x:v>
      </x:c>
      <x:c r="F50">
        <x:v>2.4300000000000002</x:v>
      </x:c>
      <x:c r="G50">
        <x:v>0.185142</x:v>
      </x:c>
      <x:c r="H50">
        <x:v>0.17685400000000001</x:v>
      </x:c>
      <x:c r="K50">
        <x:v>2.4300000000000002</x:v>
      </x:c>
      <x:c r="L50">
        <x:v>1.3422000000000001</x:v>
      </x:c>
      <x:c r="M50">
        <x:v>1.35429</x:v>
      </x:c>
    </x:row>
    <x:row r="51">
      <x:c r="A51">
        <x:v>2.4900000000000002</x:v>
      </x:c>
      <x:c r="B51">
        <x:v>6.2961699999999995E-2</x:v>
      </x:c>
      <x:c r="C51">
        <x:v>5.48774E-2</x:v>
      </x:c>
      <x:c r="F51">
        <x:v>2.4900000000000002</x:v>
      </x:c>
      <x:c r="G51">
        <x:v>0.19670399999999999</x:v>
      </x:c>
      <x:c r="H51">
        <x:v>0.18776399999999999</x:v>
      </x:c>
      <x:c r="K51">
        <x:v>2.4900000000000002</x:v>
      </x:c>
      <x:c r="L51">
        <x:v>1.28335</x:v>
      </x:c>
      <x:c r="M51">
        <x:v>1.2919799999999999</x:v>
      </x:c>
    </x:row>
    <x:row r="52">
      <x:c r="A52">
        <x:v>2.5499999999999998</x:v>
      </x:c>
      <x:c r="B52">
        <x:v>0.445884</x:v>
      </x:c>
      <x:c r="C52">
        <x:v>0.40866400000000003</x:v>
      </x:c>
      <x:c r="F52">
        <x:v>2.5499999999999998</x:v>
      </x:c>
      <x:c r="G52">
        <x:v>0.22506599999999999</x:v>
      </x:c>
      <x:c r="H52">
        <x:v>0.21826899999999999</x:v>
      </x:c>
      <x:c r="K52">
        <x:v>2.5499999999999998</x:v>
      </x:c>
      <x:c r="L52">
        <x:v>1.19156</x:v>
      </x:c>
      <x:c r="M52">
        <x:v>1.20407</x:v>
      </x:c>
    </x:row>
    <x:row r="53">
      <x:c r="A53">
        <x:v>2.61</x:v>
      </x:c>
      <x:c r="B53">
        <x:v>1.3751800000000001</x:v>
      </x:c>
      <x:c r="C53">
        <x:v>1.3516699999999999</x:v>
      </x:c>
      <x:c r="F53">
        <x:v>2.61</x:v>
      </x:c>
      <x:c r="G53">
        <x:v>0.27587200000000001</x:v>
      </x:c>
      <x:c r="H53">
        <x:v>0.26561699999999999</x:v>
      </x:c>
      <x:c r="K53">
        <x:v>2.61</x:v>
      </x:c>
      <x:c r="L53">
        <x:v>1.0876600000000001</x:v>
      </x:c>
      <x:c r="M53">
        <x:v>1.0897300000000001</x:v>
      </x:c>
    </x:row>
    <x:row r="54">
      <x:c r="A54">
        <x:v>2.67</x:v>
      </x:c>
      <x:c r="B54">
        <x:v>2.4752100000000001</x:v>
      </x:c>
      <x:c r="C54">
        <x:v>2.49884</x:v>
      </x:c>
      <x:c r="F54">
        <x:v>2.67</x:v>
      </x:c>
      <x:c r="G54">
        <x:v>0.34387400000000001</x:v>
      </x:c>
      <x:c r="H54">
        <x:v>0.335177</x:v>
      </x:c>
      <x:c r="K54">
        <x:v>2.67</x:v>
      </x:c>
      <x:c r="L54">
        <x:v>0.97295900000000002</x:v>
      </x:c>
      <x:c r="M54">
        <x:v>0.97107399999999999</x:v>
      </x:c>
    </x:row>
    <x:row r="55">
      <x:c r="A55">
        <x:v>2.73</x:v>
      </x:c>
      <x:c r="B55">
        <x:v>3.03579</x:v>
      </x:c>
      <x:c r="C55">
        <x:v>3.1142799999999999</x:v>
      </x:c>
      <x:c r="F55">
        <x:v>2.73</x:v>
      </x:c>
      <x:c r="G55">
        <x:v>0.43295299999999998</x:v>
      </x:c>
      <x:c r="H55">
        <x:v>0.42332599999999998</x:v>
      </x:c>
      <x:c r="K55">
        <x:v>2.73</x:v>
      </x:c>
      <x:c r="L55">
        <x:v>0.87194099999999997</x:v>
      </x:c>
      <x:c r="M55">
        <x:v>0.86584799999999995</x:v>
      </x:c>
    </x:row>
    <x:row r="56">
      <x:c r="A56">
        <x:v>2.79</x:v>
      </x:c>
      <x:c r="B56">
        <x:v>2.9279899999999999</x:v>
      </x:c>
      <x:c r="C56">
        <x:v>3.0149400000000002</x:v>
      </x:c>
      <x:c r="F56">
        <x:v>2.79</x:v>
      </x:c>
      <x:c r="G56">
        <x:v>0.54346899999999998</x:v>
      </x:c>
      <x:c r="H56">
        <x:v>0.53315199999999996</x:v>
      </x:c>
      <x:c r="K56">
        <x:v>2.79</x:v>
      </x:c>
      <x:c r="L56">
        <x:v>0.78919799999999996</x:v>
      </x:c>
      <x:c r="M56">
        <x:v>0.78341499999999997</x:v>
      </x:c>
    </x:row>
    <x:row r="57">
      <x:c r="A57">
        <x:v>2.85</x:v>
      </x:c>
      <x:c r="B57">
        <x:v>2.4652099999999999</x:v>
      </x:c>
      <x:c r="C57">
        <x:v>2.5080800000000001</x:v>
      </x:c>
      <x:c r="F57">
        <x:v>2.85</x:v>
      </x:c>
      <x:c r="G57">
        <x:v>0.67123999999999995</x:v>
      </x:c>
      <x:c r="H57">
        <x:v>0.66459699999999999</x:v>
      </x:c>
      <x:c r="K57">
        <x:v>2.85</x:v>
      </x:c>
      <x:c r="L57">
        <x:v>0.73546199999999995</x:v>
      </x:c>
      <x:c r="M57">
        <x:v>0.72791300000000003</x:v>
      </x:c>
    </x:row>
    <x:row r="58">
      <x:c r="A58">
        <x:v>2.91</x:v>
      </x:c>
      <x:c r="B58">
        <x:v>1.93588</x:v>
      </x:c>
      <x:c r="C58">
        <x:v>1.9404300000000001</x:v>
      </x:c>
      <x:c r="F58">
        <x:v>2.91</x:v>
      </x:c>
      <x:c r="G58">
        <x:v>0.824936</x:v>
      </x:c>
      <x:c r="H58">
        <x:v>0.820909</x:v>
      </x:c>
      <x:c r="K58">
        <x:v>2.91</x:v>
      </x:c>
      <x:c r="L58">
        <x:v>0.70507699999999995</x:v>
      </x:c>
      <x:c r="M58">
        <x:v>0.69905600000000001</x:v>
      </x:c>
    </x:row>
    <x:row r="59">
      <x:c r="A59">
        <x:v>2.97</x:v>
      </x:c>
      <x:c r="B59">
        <x:v>1.4986999999999999</x:v>
      </x:c>
      <x:c r="C59">
        <x:v>1.4843599999999999</x:v>
      </x:c>
      <x:c r="F59">
        <x:v>2.97</x:v>
      </x:c>
      <x:c r="G59">
        <x:v>1.00319</x:v>
      </x:c>
      <x:c r="H59">
        <x:v>0.998224</x:v>
      </x:c>
      <x:c r="K59">
        <x:v>2.97</x:v>
      </x:c>
      <x:c r="L59">
        <x:v>0.69882599999999995</x:v>
      </x:c>
      <x:c r="M59">
        <x:v>0.69055200000000005</x:v>
      </x:c>
    </x:row>
    <x:row r="60">
      <x:c r="A60">
        <x:v>3.03</x:v>
      </x:c>
      <x:c r="B60">
        <x:v>1.19478</x:v>
      </x:c>
      <x:c r="C60">
        <x:v>1.16662</x:v>
      </x:c>
      <x:c r="F60">
        <x:v>3.03</x:v>
      </x:c>
      <x:c r="G60">
        <x:v>1.19276</x:v>
      </x:c>
      <x:c r="H60">
        <x:v>1.1865399999999999</x:v>
      </x:c>
      <x:c r="K60">
        <x:v>3.03</x:v>
      </x:c>
      <x:c r="L60">
        <x:v>0.706233</x:v>
      </x:c>
      <x:c r="M60">
        <x:v>0.69758900000000001</x:v>
      </x:c>
    </x:row>
    <x:row r="61">
      <x:c r="A61">
        <x:v>3.09</x:v>
      </x:c>
      <x:c r="B61">
        <x:v>1.0006600000000001</x:v>
      </x:c>
      <x:c r="C61">
        <x:v>0.97254099999999999</x:v>
      </x:c>
      <x:c r="F61">
        <x:v>3.09</x:v>
      </x:c>
      <x:c r="G61">
        <x:v>1.3617699999999999</x:v>
      </x:c>
      <x:c r="H61">
        <x:v>1.3627499999999999</x:v>
      </x:c>
      <x:c r="K61">
        <x:v>3.09</x:v>
      </x:c>
      <x:c r="L61">
        <x:v>0.7208</x:v>
      </x:c>
      <x:c r="M61">
        <x:v>0.71665800000000002</x:v>
      </x:c>
    </x:row>
    <x:row r="62">
      <x:c r="A62">
        <x:v>3.15</x:v>
      </x:c>
      <x:c r="B62">
        <x:v>0.89473400000000003</x:v>
      </x:c>
      <x:c r="C62">
        <x:v>0.86609800000000003</x:v>
      </x:c>
      <x:c r="F62">
        <x:v>3.15</x:v>
      </x:c>
      <x:c r="G62">
        <x:v>1.49116</x:v>
      </x:c>
      <x:c r="H62">
        <x:v>1.49569</x:v>
      </x:c>
      <x:c r="K62">
        <x:v>3.15</x:v>
      </x:c>
      <x:c r="L62">
        <x:v>0.75295599999999996</x:v>
      </x:c>
      <x:c r="M62">
        <x:v>0.74592199999999997</x:v>
      </x:c>
    </x:row>
    <x:row r="63">
      <x:c r="A63">
        <x:v>3.21</x:v>
      </x:c>
      <x:c r="B63">
        <x:v>0.84120300000000003</x:v>
      </x:c>
      <x:c r="C63">
        <x:v>0.81284100000000004</x:v>
      </x:c>
      <x:c r="F63">
        <x:v>3.21</x:v>
      </x:c>
      <x:c r="G63">
        <x:v>1.55572</x:v>
      </x:c>
      <x:c r="H63">
        <x:v>1.5670299999999999</x:v>
      </x:c>
      <x:c r="K63">
        <x:v>3.21</x:v>
      </x:c>
      <x:c r="L63">
        <x:v>0.78854400000000002</x:v>
      </x:c>
      <x:c r="M63">
        <x:v>0.78085700000000002</x:v>
      </x:c>
    </x:row>
    <x:row r="64">
      <x:c r="A64">
        <x:v>3.27</x:v>
      </x:c>
      <x:c r="B64">
        <x:v>0.81048600000000004</x:v>
      </x:c>
      <x:c r="C64">
        <x:v>0.78739599999999998</x:v>
      </x:c>
      <x:c r="F64">
        <x:v>3.27</x:v>
      </x:c>
      <x:c r="G64">
        <x:v>1.5676000000000001</x:v>
      </x:c>
      <x:c r="H64">
        <x:v>1.5767899999999999</x:v>
      </x:c>
      <x:c r="K64">
        <x:v>3.27</x:v>
      </x:c>
      <x:c r="L64">
        <x:v>0.826955</x:v>
      </x:c>
      <x:c r="M64">
        <x:v>0.82154000000000005</x:v>
      </x:c>
    </x:row>
    <x:row r="65">
      <x:c r="A65">
        <x:v>3.33</x:v>
      </x:c>
      <x:c r="B65">
        <x:v>0.80848200000000003</x:v>
      </x:c>
      <x:c r="C65">
        <x:v>0.78249199999999997</x:v>
      </x:c>
      <x:c r="F65">
        <x:v>3.33</x:v>
      </x:c>
      <x:c r="G65">
        <x:v>1.5307999999999999</x:v>
      </x:c>
      <x:c r="H65">
        <x:v>1.53986</x:v>
      </x:c>
      <x:c r="K65">
        <x:v>3.33</x:v>
      </x:c>
      <x:c r="L65">
        <x:v>0.87005900000000003</x:v>
      </x:c>
      <x:c r="M65">
        <x:v>0.86488100000000001</x:v>
      </x:c>
    </x:row>
    <x:row r="66">
      <x:c r="A66">
        <x:v>3.39</x:v>
      </x:c>
      <x:c r="B66">
        <x:v>0.80857299999999999</x:v>
      </x:c>
      <x:c r="C66">
        <x:v>0.79405499999999996</x:v>
      </x:c>
      <x:c r="F66">
        <x:v>3.39</x:v>
      </x:c>
      <x:c r="G66">
        <x:v>1.4703599999999999</x:v>
      </x:c>
      <x:c r="H66">
        <x:v>1.47763</x:v>
      </x:c>
      <x:c r="K66">
        <x:v>3.39</x:v>
      </x:c>
      <x:c r="L66">
        <x:v>0.91208699999999998</x:v>
      </x:c>
      <x:c r="M66">
        <x:v>0.90868300000000002</x:v>
      </x:c>
    </x:row>
    <x:row r="67">
      <x:c r="A67">
        <x:v>3.45</x:v>
      </x:c>
      <x:c r="B67">
        <x:v>0.81817600000000001</x:v>
      </x:c>
      <x:c r="C67">
        <x:v>0.80460600000000004</x:v>
      </x:c>
      <x:c r="F67">
        <x:v>3.45</x:v>
      </x:c>
      <x:c r="G67">
        <x:v>1.39672</x:v>
      </x:c>
      <x:c r="H67">
        <x:v>1.4016599999999999</x:v>
      </x:c>
      <x:c r="K67">
        <x:v>3.45</x:v>
      </x:c>
      <x:c r="L67">
        <x:v>0.95619500000000002</x:v>
      </x:c>
      <x:c r="M67">
        <x:v>0.95563200000000004</x:v>
      </x:c>
    </x:row>
    <x:row r="68">
      <x:c r="A68">
        <x:v>3.51</x:v>
      </x:c>
      <x:c r="B68">
        <x:v>0.83131500000000003</x:v>
      </x:c>
      <x:c r="C68">
        <x:v>0.81910899999999998</x:v>
      </x:c>
      <x:c r="F68">
        <x:v>3.51</x:v>
      </x:c>
      <x:c r="G68">
        <x:v>1.32107</x:v>
      </x:c>
      <x:c r="H68">
        <x:v>1.3245899999999999</x:v>
      </x:c>
      <x:c r="K68">
        <x:v>3.51</x:v>
      </x:c>
      <x:c r="L68">
        <x:v>1.0009699999999999</x:v>
      </x:c>
      <x:c r="M68">
        <x:v>1.0011399999999999</x:v>
      </x:c>
    </x:row>
    <x:row r="69">
      <x:c r="A69">
        <x:v>3.57</x:v>
      </x:c>
      <x:c r="B69">
        <x:v>0.84622799999999998</x:v>
      </x:c>
      <x:c r="C69">
        <x:v>0.83985399999999999</x:v>
      </x:c>
      <x:c r="F69">
        <x:v>3.57</x:v>
      </x:c>
      <x:c r="G69">
        <x:v>1.2436499999999999</x:v>
      </x:c>
      <x:c r="H69">
        <x:v>1.2478899999999999</x:v>
      </x:c>
      <x:c r="K69">
        <x:v>3.57</x:v>
      </x:c>
      <x:c r="L69">
        <x:v>1.0436700000000001</x:v>
      </x:c>
      <x:c r="M69">
        <x:v>1.0442400000000001</x:v>
      </x:c>
    </x:row>
    <x:row r="70">
      <x:c r="A70">
        <x:v>3.63</x:v>
      </x:c>
      <x:c r="B70">
        <x:v>0.86761699999999997</x:v>
      </x:c>
      <x:c r="C70">
        <x:v>0.85842700000000005</x:v>
      </x:c>
      <x:c r="F70">
        <x:v>3.63</x:v>
      </x:c>
      <x:c r="G70">
        <x:v>1.1772899999999999</x:v>
      </x:c>
      <x:c r="H70">
        <x:v>1.1767099999999999</x:v>
      </x:c>
      <x:c r="K70">
        <x:v>3.63</x:v>
      </x:c>
      <x:c r="L70">
        <x:v>1.0855300000000001</x:v>
      </x:c>
      <x:c r="M70">
        <x:v>1.0855999999999999</x:v>
      </x:c>
    </x:row>
    <x:row r="71">
      <x:c r="A71">
        <x:v>3.69</x:v>
      </x:c>
      <x:c r="B71">
        <x:v>0.89129700000000001</x:v>
      </x:c>
      <x:c r="C71">
        <x:v>0.87774300000000005</x:v>
      </x:c>
      <x:c r="F71">
        <x:v>3.69</x:v>
      </x:c>
      <x:c r="G71">
        <x:v>1.11659</x:v>
      </x:c>
      <x:c r="H71">
        <x:v>1.1150199999999999</x:v>
      </x:c>
      <x:c r="K71">
        <x:v>3.69</x:v>
      </x:c>
      <x:c r="L71">
        <x:v>1.1194500000000001</x:v>
      </x:c>
      <x:c r="M71">
        <x:v>1.1194200000000001</x:v>
      </x:c>
    </x:row>
    <x:row r="72">
      <x:c r="A72">
        <x:v>3.75</x:v>
      </x:c>
      <x:c r="B72">
        <x:v>0.90168400000000004</x:v>
      </x:c>
      <x:c r="C72">
        <x:v>0.90208600000000005</x:v>
      </x:c>
      <x:c r="F72">
        <x:v>3.75</x:v>
      </x:c>
      <x:c r="G72">
        <x:v>1.06406</x:v>
      </x:c>
      <x:c r="H72">
        <x:v>1.0654600000000001</x:v>
      </x:c>
      <x:c r="K72">
        <x:v>3.75</x:v>
      </x:c>
      <x:c r="L72">
        <x:v>1.1431</x:v>
      </x:c>
      <x:c r="M72">
        <x:v>1.1466700000000001</x:v>
      </x:c>
    </x:row>
    <x:row r="73">
      <x:c r="A73">
        <x:v>3.81</x:v>
      </x:c>
      <x:c r="B73">
        <x:v>0.92723299999999997</x:v>
      </x:c>
      <x:c r="C73">
        <x:v>0.923265</x:v>
      </x:c>
      <x:c r="F73">
        <x:v>3.81</x:v>
      </x:c>
      <x:c r="G73">
        <x:v>1.0330900000000001</x:v>
      </x:c>
      <x:c r="H73">
        <x:v>1.02826</x:v>
      </x:c>
      <x:c r="K73">
        <x:v>3.81</x:v>
      </x:c>
      <x:c r="L73">
        <x:v>1.16212</x:v>
      </x:c>
      <x:c r="M73">
        <x:v>1.16578</x:v>
      </x:c>
    </x:row>
    <x:row r="74">
      <x:c r="A74">
        <x:v>3.87</x:v>
      </x:c>
      <x:c r="B74">
        <x:v>0.95105899999999999</x:v>
      </x:c>
      <x:c r="C74">
        <x:v>0.95024299999999995</x:v>
      </x:c>
      <x:c r="F74">
        <x:v>3.87</x:v>
      </x:c>
      <x:c r="G74">
        <x:v>1.0047200000000001</x:v>
      </x:c>
      <x:c r="H74">
        <x:v>1.0041</x:v>
      </x:c>
      <x:c r="K74">
        <x:v>3.87</x:v>
      </x:c>
      <x:c r="L74">
        <x:v>1.1721200000000001</x:v>
      </x:c>
      <x:c r="M74">
        <x:v>1.1731499999999999</x:v>
      </x:c>
    </x:row>
    <x:row r="75">
      <x:c r="A75">
        <x:v>3.93</x:v>
      </x:c>
      <x:c r="B75">
        <x:v>0.97398099999999999</x:v>
      </x:c>
      <x:c r="C75">
        <x:v>0.971472</x:v>
      </x:c>
      <x:c r="F75">
        <x:v>3.93</x:v>
      </x:c>
      <x:c r="G75">
        <x:v>0.991093</x:v>
      </x:c>
      <x:c r="H75">
        <x:v>0.98996899999999999</x:v>
      </x:c>
      <x:c r="K75">
        <x:v>3.93</x:v>
      </x:c>
      <x:c r="L75">
        <x:v>1.1710400000000001</x:v>
      </x:c>
      <x:c r="M75">
        <x:v>1.17302</x:v>
      </x:c>
    </x:row>
    <x:row r="76">
      <x:c r="A76">
        <x:v>3.99</x:v>
      </x:c>
      <x:c r="B76">
        <x:v>0.98716800000000005</x:v>
      </x:c>
      <x:c r="C76">
        <x:v>0.99647200000000002</x:v>
      </x:c>
      <x:c r="F76">
        <x:v>3.99</x:v>
      </x:c>
      <x:c r="G76">
        <x:v>0.98080800000000001</x:v>
      </x:c>
      <x:c r="H76">
        <x:v>0.98001499999999997</x:v>
      </x:c>
      <x:c r="K76">
        <x:v>3.99</x:v>
      </x:c>
      <x:c r="L76">
        <x:v>1.1548700000000001</x:v>
      </x:c>
      <x:c r="M76">
        <x:v>1.1588099999999999</x:v>
      </x:c>
    </x:row>
    <x:row r="77">
      <x:c r="A77">
        <x:v>4.05</x:v>
      </x:c>
      <x:c r="B77">
        <x:v>1.01302</x:v>
      </x:c>
      <x:c r="C77">
        <x:v>1.02186</x:v>
      </x:c>
      <x:c r="F77">
        <x:v>4.05</x:v>
      </x:c>
      <x:c r="G77">
        <x:v>0.97720899999999999</x:v>
      </x:c>
      <x:c r="H77">
        <x:v>0.97605600000000003</x:v>
      </x:c>
      <x:c r="K77">
        <x:v>4.05</x:v>
      </x:c>
      <x:c r="L77">
        <x:v>1.1364700000000001</x:v>
      </x:c>
      <x:c r="M77">
        <x:v>1.1372800000000001</x:v>
      </x:c>
    </x:row>
    <x:row r="78">
      <x:c r="A78">
        <x:v>4.1100000000000003</x:v>
      </x:c>
      <x:c r="B78">
        <x:v>1.0370699999999999</x:v>
      </x:c>
      <x:c r="C78">
        <x:v>1.0422899999999999</x:v>
      </x:c>
      <x:c r="F78">
        <x:v>4.1100000000000003</x:v>
      </x:c>
      <x:c r="G78">
        <x:v>0.97299000000000002</x:v>
      </x:c>
      <x:c r="H78">
        <x:v>0.97297100000000003</x:v>
      </x:c>
      <x:c r="K78">
        <x:v>4.1100000000000003</x:v>
      </x:c>
      <x:c r="L78">
        <x:v>1.1100699999999999</x:v>
      </x:c>
      <x:c r="M78">
        <x:v>1.11215</x:v>
      </x:c>
    </x:row>
    <x:row r="79">
      <x:c r="A79">
        <x:v>4.17</x:v>
      </x:c>
      <x:c r="B79">
        <x:v>1.0537700000000001</x:v>
      </x:c>
      <x:c r="C79">
        <x:v>1.0620000000000001</x:v>
      </x:c>
      <x:c r="F79">
        <x:v>4.17</x:v>
      </x:c>
      <x:c r="G79">
        <x:v>0.96969000000000005</x:v>
      </x:c>
      <x:c r="H79">
        <x:v>0.97180699999999998</x:v>
      </x:c>
      <x:c r="K79">
        <x:v>4.17</x:v>
      </x:c>
      <x:c r="L79">
        <x:v>1.0875600000000001</x:v>
      </x:c>
      <x:c r="M79">
        <x:v>1.08978</x:v>
      </x:c>
    </x:row>
    <x:row r="80">
      <x:c r="A80">
        <x:v>4.2300000000000004</x:v>
      </x:c>
      <x:c r="B80">
        <x:v>1.0713200000000001</x:v>
      </x:c>
      <x:c r="C80">
        <x:v>1.0839399999999999</x:v>
      </x:c>
      <x:c r="F80">
        <x:v>4.2300000000000004</x:v>
      </x:c>
      <x:c r="G80">
        <x:v>0.96828800000000004</x:v>
      </x:c>
      <x:c r="H80">
        <x:v>0.96918599999999999</x:v>
      </x:c>
      <x:c r="K80">
        <x:v>4.2300000000000004</x:v>
      </x:c>
      <x:c r="L80">
        <x:v>1.0635699999999999</x:v>
      </x:c>
      <x:c r="M80">
        <x:v>1.0681700000000001</x:v>
      </x:c>
    </x:row>
    <x:row r="81">
      <x:c r="A81">
        <x:v>4.29</x:v>
      </x:c>
      <x:c r="B81">
        <x:v>1.08572</x:v>
      </x:c>
      <x:c r="C81">
        <x:v>1.09812</x:v>
      </x:c>
      <x:c r="F81">
        <x:v>4.29</x:v>
      </x:c>
      <x:c r="G81">
        <x:v>0.96740899999999996</x:v>
      </x:c>
      <x:c r="H81">
        <x:v>0.96737499999999998</x:v>
      </x:c>
      <x:c r="K81">
        <x:v>4.29</x:v>
      </x:c>
      <x:c r="L81">
        <x:v>1.0492999999999999</x:v>
      </x:c>
      <x:c r="M81">
        <x:v>1.0513699999999999</x:v>
      </x:c>
    </x:row>
    <x:row r="82">
      <x:c r="A82">
        <x:v>4.3499999999999996</x:v>
      </x:c>
      <x:c r="B82">
        <x:v>1.0981399999999999</x:v>
      </x:c>
      <x:c r="C82">
        <x:v>1.1109500000000001</x:v>
      </x:c>
      <x:c r="F82">
        <x:v>4.3499999999999996</x:v>
      </x:c>
      <x:c r="G82">
        <x:v>0.965831</x:v>
      </x:c>
      <x:c r="H82">
        <x:v>0.96476799999999996</x:v>
      </x:c>
      <x:c r="K82">
        <x:v>4.3499999999999996</x:v>
      </x:c>
      <x:c r="L82">
        <x:v>1.03898</x:v>
      </x:c>
      <x:c r="M82">
        <x:v>1.0414399999999999</x:v>
      </x:c>
    </x:row>
    <x:row r="83">
      <x:c r="A83">
        <x:v>4.41</x:v>
      </x:c>
      <x:c r="B83">
        <x:v>1.1048899999999999</x:v>
      </x:c>
      <x:c r="C83">
        <x:v>1.1192500000000001</x:v>
      </x:c>
      <x:c r="F83">
        <x:v>4.41</x:v>
      </x:c>
      <x:c r="G83">
        <x:v>0.96297999999999995</x:v>
      </x:c>
      <x:c r="H83">
        <x:v>0.96198499999999998</x:v>
      </x:c>
      <x:c r="K83">
        <x:v>4.41</x:v>
      </x:c>
      <x:c r="L83">
        <x:v>1.03365</x:v>
      </x:c>
      <x:c r="M83">
        <x:v>1.03363</x:v>
      </x:c>
    </x:row>
    <x:row r="84">
      <x:c r="A84">
        <x:v>4.47</x:v>
      </x:c>
      <x:c r="B84">
        <x:v>1.11622</x:v>
      </x:c>
      <x:c r="C84">
        <x:v>1.1250100000000001</x:v>
      </x:c>
      <x:c r="F84">
        <x:v>4.47</x:v>
      </x:c>
      <x:c r="G84">
        <x:v>0.95874000000000004</x:v>
      </x:c>
      <x:c r="H84">
        <x:v>0.958233</x:v>
      </x:c>
      <x:c r="K84">
        <x:v>4.47</x:v>
      </x:c>
      <x:c r="L84">
        <x:v>1.0254799999999999</x:v>
      </x:c>
      <x:c r="M84">
        <x:v>1.03128</x:v>
      </x:c>
    </x:row>
    <x:row r="85">
      <x:c r="A85">
        <x:v>4.53</x:v>
      </x:c>
      <x:c r="B85">
        <x:v>1.11225</x:v>
      </x:c>
      <x:c r="C85">
        <x:v>1.12612</x:v>
      </x:c>
      <x:c r="F85">
        <x:v>4.53</x:v>
      </x:c>
      <x:c r="G85">
        <x:v>0.95751799999999998</x:v>
      </x:c>
      <x:c r="H85">
        <x:v>0.95683200000000002</x:v>
      </x:c>
      <x:c r="K85">
        <x:v>4.53</x:v>
      </x:c>
      <x:c r="L85">
        <x:v>1.0276000000000001</x:v>
      </x:c>
      <x:c r="M85">
        <x:v>1.0274700000000001</x:v>
      </x:c>
    </x:row>
    <x:row r="86">
      <x:c r="A86">
        <x:v>4.59</x:v>
      </x:c>
      <x:c r="B86">
        <x:v>1.10501</x:v>
      </x:c>
      <x:c r="C86">
        <x:v>1.1204000000000001</x:v>
      </x:c>
      <x:c r="F86">
        <x:v>4.59</x:v>
      </x:c>
      <x:c r="G86">
        <x:v>0.95559799999999995</x:v>
      </x:c>
      <x:c r="H86">
        <x:v>0.95601499999999995</x:v>
      </x:c>
      <x:c r="K86">
        <x:v>4.59</x:v>
      </x:c>
      <x:c r="L86">
        <x:v>1.02342</x:v>
      </x:c>
      <x:c r="M86">
        <x:v>1.0252300000000001</x:v>
      </x:c>
    </x:row>
    <x:row r="87">
      <x:c r="A87">
        <x:v>4.6500000000000004</x:v>
      </x:c>
      <x:c r="B87">
        <x:v>1.1078399999999999</x:v>
      </x:c>
      <x:c r="C87">
        <x:v>1.11321</x:v>
      </x:c>
      <x:c r="F87">
        <x:v>4.6500000000000004</x:v>
      </x:c>
      <x:c r="G87">
        <x:v>0.95579999999999998</x:v>
      </x:c>
      <x:c r="H87">
        <x:v>0.95685299999999995</x:v>
      </x:c>
      <x:c r="K87">
        <x:v>4.6500000000000004</x:v>
      </x:c>
      <x:c r="L87">
        <x:v>1.02091</x:v>
      </x:c>
      <x:c r="M87">
        <x:v>1.0232699999999999</x:v>
      </x:c>
    </x:row>
    <x:row r="88">
      <x:c r="A88">
        <x:v>4.71</x:v>
      </x:c>
      <x:c r="B88">
        <x:v>1.10117</x:v>
      </x:c>
      <x:c r="C88">
        <x:v>1.1065</x:v>
      </x:c>
      <x:c r="F88">
        <x:v>4.71</x:v>
      </x:c>
      <x:c r="G88">
        <x:v>0.95990600000000004</x:v>
      </x:c>
      <x:c r="H88">
        <x:v>0.95826199999999995</x:v>
      </x:c>
      <x:c r="K88">
        <x:v>4.71</x:v>
      </x:c>
      <x:c r="L88">
        <x:v>1.0188299999999999</x:v>
      </x:c>
      <x:c r="M88">
        <x:v>1.01871</x:v>
      </x:c>
    </x:row>
    <x:row r="89">
      <x:c r="A89">
        <x:v>4.7699999999999996</x:v>
      </x:c>
      <x:c r="B89">
        <x:v>1.07995</x:v>
      </x:c>
      <x:c r="C89">
        <x:v>1.09287</x:v>
      </x:c>
      <x:c r="F89">
        <x:v>4.7699999999999996</x:v>
      </x:c>
      <x:c r="G89">
        <x:v>0.96222600000000003</x:v>
      </x:c>
      <x:c r="H89">
        <x:v>0.96357800000000005</x:v>
      </x:c>
      <x:c r="K89">
        <x:v>4.7699999999999996</x:v>
      </x:c>
      <x:c r="L89">
        <x:v>1.0131399999999999</x:v>
      </x:c>
      <x:c r="M89">
        <x:v>1.01366</x:v>
      </x:c>
    </x:row>
    <x:row r="90">
      <x:c r="A90">
        <x:v>4.83</x:v>
      </x:c>
      <x:c r="B90">
        <x:v>1.07318</x:v>
      </x:c>
      <x:c r="C90">
        <x:v>1.07657</x:v>
      </x:c>
      <x:c r="F90">
        <x:v>4.83</x:v>
      </x:c>
      <x:c r="G90">
        <x:v>0.968329</x:v>
      </x:c>
      <x:c r="H90">
        <x:v>0.96881200000000001</x:v>
      </x:c>
      <x:c r="K90">
        <x:v>4.83</x:v>
      </x:c>
      <x:c r="L90">
        <x:v>1.0069600000000001</x:v>
      </x:c>
      <x:c r="M90">
        <x:v>1.0082199999999999</x:v>
      </x:c>
    </x:row>
    <x:row r="91">
      <x:c r="A91">
        <x:v>4.8899999999999997</x:v>
      </x:c>
      <x:c r="B91">
        <x:v>1.0580099999999999</x:v>
      </x:c>
      <x:c r="C91">
        <x:v>1.0624499999999999</x:v>
      </x:c>
      <x:c r="F91">
        <x:v>4.8899999999999997</x:v>
      </x:c>
      <x:c r="G91">
        <x:v>0.97209500000000004</x:v>
      </x:c>
      <x:c r="H91">
        <x:v>0.97533700000000001</x:v>
      </x:c>
      <x:c r="K91">
        <x:v>4.8899999999999997</x:v>
      </x:c>
      <x:c r="L91">
        <x:v>1.00024</x:v>
      </x:c>
      <x:c r="M91">
        <x:v>1.00048</x:v>
      </x:c>
    </x:row>
    <x:row r="92">
      <x:c r="A92">
        <x:v>4.95</x:v>
      </x:c>
      <x:c r="B92">
        <x:v>1.04166</x:v>
      </x:c>
      <x:c r="C92">
        <x:v>1.04467</x:v>
      </x:c>
      <x:c r="F92">
        <x:v>4.95</x:v>
      </x:c>
      <x:c r="G92">
        <x:v>0.98194099999999995</x:v>
      </x:c>
      <x:c r="H92">
        <x:v>0.98378900000000002</x:v>
      </x:c>
      <x:c r="K92">
        <x:v>4.95</x:v>
      </x:c>
      <x:c r="L92">
        <x:v>0.99337200000000003</x:v>
      </x:c>
      <x:c r="M92">
        <x:v>0.99285100000000004</x:v>
      </x:c>
    </x:row>
    <x:row r="93">
      <x:c r="A93">
        <x:v>5.01</x:v>
      </x:c>
      <x:c r="B93">
        <x:v>1.0267200000000001</x:v>
      </x:c>
      <x:c r="C93">
        <x:v>1.02685</x:v>
      </x:c>
      <x:c r="F93">
        <x:v>5.01</x:v>
      </x:c>
      <x:c r="G93">
        <x:v>0.99032500000000001</x:v>
      </x:c>
      <x:c r="H93">
        <x:v>0.99094599999999999</x:v>
      </x:c>
      <x:c r="K93">
        <x:v>5.01</x:v>
      </x:c>
      <x:c r="L93">
        <x:v>0.98722699999999997</x:v>
      </x:c>
      <x:c r="M93">
        <x:v>0.98514199999999996</x:v>
      </x:c>
    </x:row>
    <x:row r="94">
      <x:c r="A94">
        <x:v>5.07</x:v>
      </x:c>
      <x:c r="B94">
        <x:v>1.00712</x:v>
      </x:c>
      <x:c r="C94">
        <x:v>1.0121500000000001</x:v>
      </x:c>
      <x:c r="F94">
        <x:v>5.07</x:v>
      </x:c>
      <x:c r="G94">
        <x:v>0.99677700000000002</x:v>
      </x:c>
      <x:c r="H94">
        <x:v>0.999556</x:v>
      </x:c>
      <x:c r="K94">
        <x:v>5.07</x:v>
      </x:c>
      <x:c r="L94">
        <x:v>0.97695299999999996</x:v>
      </x:c>
      <x:c r="M94">
        <x:v>0.978159</x:v>
      </x:c>
    </x:row>
    <x:row r="95">
      <x:c r="A95">
        <x:v>5.13</x:v>
      </x:c>
      <x:c r="B95">
        <x:v>0.99679899999999999</x:v>
      </x:c>
      <x:c r="C95">
        <x:v>0.995278</x:v>
      </x:c>
      <x:c r="F95">
        <x:v>5.13</x:v>
      </x:c>
      <x:c r="G95">
        <x:v>1.00667</x:v>
      </x:c>
      <x:c r="H95">
        <x:v>1.0076099999999999</x:v>
      </x:c>
      <x:c r="K95">
        <x:v>5.13</x:v>
      </x:c>
      <x:c r="L95">
        <x:v>0.96828999999999998</x:v>
      </x:c>
      <x:c r="M95">
        <x:v>0.97120799999999996</x:v>
      </x:c>
    </x:row>
    <x:row r="96">
      <x:c r="A96">
        <x:v>5.19</x:v>
      </x:c>
      <x:c r="B96">
        <x:v>0.97972599999999999</x:v>
      </x:c>
      <x:c r="C96">
        <x:v>0.97558500000000004</x:v>
      </x:c>
      <x:c r="F96">
        <x:v>5.19</x:v>
      </x:c>
      <x:c r="G96">
        <x:v>1.0101</x:v>
      </x:c>
      <x:c r="H96">
        <x:v>1.0121100000000001</x:v>
      </x:c>
      <x:c r="K96">
        <x:v>5.19</x:v>
      </x:c>
      <x:c r="L96">
        <x:v>0.96364700000000003</x:v>
      </x:c>
      <x:c r="M96">
        <x:v>0.96579800000000005</x:v>
      </x:c>
    </x:row>
    <x:row r="97">
      <x:c r="A97">
        <x:v>5.25</x:v>
      </x:c>
      <x:c r="B97">
        <x:v>0.96535000000000004</x:v>
      </x:c>
      <x:c r="C97">
        <x:v>0.96277299999999999</x:v>
      </x:c>
      <x:c r="F97">
        <x:v>5.25</x:v>
      </x:c>
      <x:c r="G97">
        <x:v>1.0134000000000001</x:v>
      </x:c>
      <x:c r="H97">
        <x:v>1.0169299999999999</x:v>
      </x:c>
      <x:c r="K97">
        <x:v>5.25</x:v>
      </x:c>
      <x:c r="L97">
        <x:v>0.96126599999999995</x:v>
      </x:c>
      <x:c r="M97">
        <x:v>0.96118499999999996</x:v>
      </x:c>
    </x:row>
    <x:row r="98">
      <x:c r="A98">
        <x:v>5.31</x:v>
      </x:c>
      <x:c r="B98">
        <x:v>0.94914799999999999</x:v>
      </x:c>
      <x:c r="C98">
        <x:v>0.94572699999999998</x:v>
      </x:c>
      <x:c r="F98">
        <x:v>5.31</x:v>
      </x:c>
      <x:c r="G98">
        <x:v>1.01709</x:v>
      </x:c>
      <x:c r="H98">
        <x:v>1.01952</x:v>
      </x:c>
      <x:c r="K98">
        <x:v>5.31</x:v>
      </x:c>
      <x:c r="L98">
        <x:v>0.96058399999999999</x:v>
      </x:c>
      <x:c r="M98">
        <x:v>0.95900099999999999</x:v>
      </x:c>
    </x:row>
    <x:row r="99">
      <x:c r="A99">
        <x:v>5.37</x:v>
      </x:c>
      <x:c r="B99">
        <x:v>0.936778</x:v>
      </x:c>
      <x:c r="C99">
        <x:v>0.92984599999999995</x:v>
      </x:c>
      <x:c r="F99">
        <x:v>5.37</x:v>
      </x:c>
      <x:c r="G99">
        <x:v>1.0215099999999999</x:v>
      </x:c>
      <x:c r="H99">
        <x:v>1.0214399999999999</x:v>
      </x:c>
      <x:c r="K99">
        <x:v>5.37</x:v>
      </x:c>
      <x:c r="L99">
        <x:v>0.95806500000000006</x:v>
      </x:c>
      <x:c r="M99">
        <x:v>0.95810099999999998</x:v>
      </x:c>
    </x:row>
    <x:row r="100">
      <x:c r="A100">
        <x:v>5.43</x:v>
      </x:c>
      <x:c r="B100">
        <x:v>0.92359800000000003</x:v>
      </x:c>
      <x:c r="C100">
        <x:v>0.91783199999999998</x:v>
      </x:c>
      <x:c r="F100">
        <x:v>5.43</x:v>
      </x:c>
      <x:c r="G100">
        <x:v>1.0227599999999999</x:v>
      </x:c>
      <x:c r="H100">
        <x:v>1.0228999999999999</x:v>
      </x:c>
      <x:c r="K100">
        <x:v>5.43</x:v>
      </x:c>
      <x:c r="L100">
        <x:v>0.95885799999999999</x:v>
      </x:c>
      <x:c r="M100">
        <x:v>0.95800200000000002</x:v>
      </x:c>
    </x:row>
    <x:row r="101">
      <x:c r="A101">
        <x:v>5.49</x:v>
      </x:c>
      <x:c r="B101">
        <x:v>0.91624300000000003</x:v>
      </x:c>
      <x:c r="C101">
        <x:v>0.90530699999999997</x:v>
      </x:c>
      <x:c r="F101">
        <x:v>5.49</x:v>
      </x:c>
      <x:c r="G101">
        <x:v>1.0215000000000001</x:v>
      </x:c>
      <x:c r="H101">
        <x:v>1.0211600000000001</x:v>
      </x:c>
      <x:c r="K101">
        <x:v>5.49</x:v>
      </x:c>
      <x:c r="L101">
        <x:v>0.96181499999999998</x:v>
      </x:c>
      <x:c r="M101">
        <x:v>0.96054600000000001</x:v>
      </x:c>
    </x:row>
    <x:row r="102">
      <x:c r="A102">
        <x:v>5.55</x:v>
      </x:c>
      <x:c r="B102">
        <x:v>0.90997300000000003</x:v>
      </x:c>
      <x:c r="C102">
        <x:v>0.89582600000000001</x:v>
      </x:c>
      <x:c r="F102">
        <x:v>5.55</x:v>
      </x:c>
      <x:c r="G102">
        <x:v>1.0169299999999999</x:v>
      </x:c>
      <x:c r="H102">
        <x:v>1.0189699999999999</x:v>
      </x:c>
      <x:c r="K102">
        <x:v>5.55</x:v>
      </x:c>
      <x:c r="L102">
        <x:v>0.96399100000000004</x:v>
      </x:c>
      <x:c r="M102">
        <x:v>0.96257000000000004</x:v>
      </x:c>
    </x:row>
    <x:row r="103">
      <x:c r="A103">
        <x:v>5.61</x:v>
      </x:c>
      <x:c r="B103">
        <x:v>0.89956599999999998</x:v>
      </x:c>
      <x:c r="C103">
        <x:v>0.890042</x:v>
      </x:c>
      <x:c r="F103">
        <x:v>5.61</x:v>
      </x:c>
      <x:c r="G103">
        <x:v>1.0144299999999999</x:v>
      </x:c>
      <x:c r="H103">
        <x:v>1.0152000000000001</x:v>
      </x:c>
      <x:c r="K103">
        <x:v>5.61</x:v>
      </x:c>
      <x:c r="L103">
        <x:v>0.96974700000000003</x:v>
      </x:c>
      <x:c r="M103">
        <x:v>0.96727700000000005</x:v>
      </x:c>
    </x:row>
    <x:row r="104">
      <x:c r="A104">
        <x:v>5.67</x:v>
      </x:c>
      <x:c r="B104">
        <x:v>0.903451</x:v>
      </x:c>
      <x:c r="C104">
        <x:v>0.89015900000000003</x:v>
      </x:c>
      <x:c r="F104">
        <x:v>5.67</x:v>
      </x:c>
      <x:c r="G104">
        <x:v>1.01033</x:v>
      </x:c>
      <x:c r="H104">
        <x:v>1.0103899999999999</x:v>
      </x:c>
      <x:c r="K104">
        <x:v>5.67</x:v>
      </x:c>
      <x:c r="L104">
        <x:v>0.97366900000000001</x:v>
      </x:c>
      <x:c r="M104">
        <x:v>0.97320899999999999</x:v>
      </x:c>
    </x:row>
    <x:row r="105">
      <x:c r="A105">
        <x:v>5.73</x:v>
      </x:c>
      <x:c r="B105">
        <x:v>0.90263000000000004</x:v>
      </x:c>
      <x:c r="C105">
        <x:v>0.89453199999999999</x:v>
      </x:c>
      <x:c r="F105">
        <x:v>5.73</x:v>
      </x:c>
      <x:c r="G105">
        <x:v>1.00613</x:v>
      </x:c>
      <x:c r="H105">
        <x:v>1.0038499999999999</x:v>
      </x:c>
      <x:c r="K105">
        <x:v>5.73</x:v>
      </x:c>
      <x:c r="L105">
        <x:v>0.98092100000000004</x:v>
      </x:c>
      <x:c r="M105">
        <x:v>0.97908099999999998</x:v>
      </x:c>
    </x:row>
    <x:row r="106">
      <x:c r="A106">
        <x:v>5.79</x:v>
      </x:c>
      <x:c r="B106">
        <x:v>0.90871000000000002</x:v>
      </x:c>
      <x:c r="C106">
        <x:v>0.90232699999999999</x:v>
      </x:c>
      <x:c r="F106">
        <x:v>5.79</x:v>
      </x:c>
      <x:c r="G106">
        <x:v>1.0007900000000001</x:v>
      </x:c>
      <x:c r="H106">
        <x:v>0.99826899999999996</x:v>
      </x:c>
      <x:c r="K106">
        <x:v>5.79</x:v>
      </x:c>
      <x:c r="L106">
        <x:v>0.98663199999999995</x:v>
      </x:c>
      <x:c r="M106">
        <x:v>0.98382499999999995</x:v>
      </x:c>
    </x:row>
    <x:row r="107">
      <x:c r="A107">
        <x:v>5.85</x:v>
      </x:c>
      <x:c r="B107">
        <x:v>0.918068</x:v>
      </x:c>
      <x:c r="C107">
        <x:v>0.911385</x:v>
      </x:c>
      <x:c r="F107">
        <x:v>5.85</x:v>
      </x:c>
      <x:c r="G107">
        <x:v>0.99224199999999996</x:v>
      </x:c>
      <x:c r="H107">
        <x:v>0.99109199999999997</x:v>
      </x:c>
      <x:c r="K107">
        <x:v>5.85</x:v>
      </x:c>
      <x:c r="L107">
        <x:v>0.98881300000000005</x:v>
      </x:c>
      <x:c r="M107">
        <x:v>0.98887199999999997</x:v>
      </x:c>
    </x:row>
    <x:row r="108">
      <x:c r="A108">
        <x:v>5.91</x:v>
      </x:c>
      <x:c r="B108">
        <x:v>0.92693700000000001</x:v>
      </x:c>
      <x:c r="C108">
        <x:v>0.92135100000000003</x:v>
      </x:c>
      <x:c r="F108">
        <x:v>5.91</x:v>
      </x:c>
      <x:c r="G108">
        <x:v>0.98760700000000001</x:v>
      </x:c>
      <x:c r="H108">
        <x:v>0.98331599999999997</x:v>
      </x:c>
      <x:c r="K108">
        <x:v>5.91</x:v>
      </x:c>
      <x:c r="L108">
        <x:v>0.99623600000000001</x:v>
      </x:c>
      <x:c r="M108">
        <x:v>0.99411899999999997</x:v>
      </x:c>
    </x:row>
    <x:row r="109">
      <x:c r="A109">
        <x:v>5.97</x:v>
      </x:c>
      <x:c r="B109">
        <x:v>0.93820099999999995</x:v>
      </x:c>
      <x:c r="C109">
        <x:v>0.93320099999999995</x:v>
      </x:c>
      <x:c r="F109">
        <x:v>5.97</x:v>
      </x:c>
      <x:c r="G109">
        <x:v>0.98172800000000005</x:v>
      </x:c>
      <x:c r="H109">
        <x:v>0.97762800000000005</x:v>
      </x:c>
      <x:c r="K109">
        <x:v>5.97</x:v>
      </x:c>
      <x:c r="L109">
        <x:v>0.99707199999999996</x:v>
      </x:c>
      <x:c r="M109">
        <x:v>0.99722599999999995</x:v>
      </x:c>
    </x:row>
    <x:row r="110">
      <x:c r="A110">
        <x:v>6.03</x:v>
      </x:c>
      <x:c r="B110">
        <x:v>0.951484</x:v>
      </x:c>
      <x:c r="C110">
        <x:v>0.94703999999999999</x:v>
      </x:c>
      <x:c r="F110">
        <x:v>6.03</x:v>
      </x:c>
      <x:c r="G110">
        <x:v>0.97489400000000004</x:v>
      </x:c>
      <x:c r="H110">
        <x:v>0.97156799999999999</x:v>
      </x:c>
      <x:c r="K110">
        <x:v>6.03</x:v>
      </x:c>
      <x:c r="L110">
        <x:v>1.0024999999999999</x:v>
      </x:c>
      <x:c r="M110">
        <x:v>1.0008999999999999</x:v>
      </x:c>
    </x:row>
    <x:row r="111">
      <x:c r="A111">
        <x:v>6.09</x:v>
      </x:c>
      <x:c r="B111">
        <x:v>0.96511899999999995</x:v>
      </x:c>
      <x:c r="C111">
        <x:v>0.95894900000000005</x:v>
      </x:c>
      <x:c r="F111">
        <x:v>6.09</x:v>
      </x:c>
      <x:c r="G111">
        <x:v>0.96982999999999997</x:v>
      </x:c>
      <x:c r="H111">
        <x:v>0.96914199999999995</x:v>
      </x:c>
      <x:c r="K111">
        <x:v>6.09</x:v>
      </x:c>
      <x:c r="L111">
        <x:v>1.00308</x:v>
      </x:c>
      <x:c r="M111">
        <x:v>1.00335</x:v>
      </x:c>
    </x:row>
    <x:row r="112">
      <x:c r="A112">
        <x:v>6.15</x:v>
      </x:c>
      <x:c r="B112">
        <x:v>0.97308499999999998</x:v>
      </x:c>
      <x:c r="C112">
        <x:v>0.97215700000000005</x:v>
      </x:c>
      <x:c r="F112">
        <x:v>6.15</x:v>
      </x:c>
      <x:c r="G112">
        <x:v>0.96809100000000003</x:v>
      </x:c>
      <x:c r="H112">
        <x:v>0.96524299999999996</x:v>
      </x:c>
      <x:c r="K112">
        <x:v>6.15</x:v>
      </x:c>
      <x:c r="L112">
        <x:v>1.0071099999999999</x:v>
      </x:c>
      <x:c r="M112">
        <x:v>1.00475</x:v>
      </x:c>
    </x:row>
    <x:row r="113">
      <x:c r="A113">
        <x:v>6.21</x:v>
      </x:c>
      <x:c r="B113">
        <x:v>0.985344</x:v>
      </x:c>
      <x:c r="C113">
        <x:v>0.98440000000000005</x:v>
      </x:c>
      <x:c r="F113">
        <x:v>6.21</x:v>
      </x:c>
      <x:c r="G113">
        <x:v>0.96681600000000001</x:v>
      </x:c>
      <x:c r="H113">
        <x:v>0.96456500000000001</x:v>
      </x:c>
      <x:c r="K113">
        <x:v>6.21</x:v>
      </x:c>
      <x:c r="L113">
        <x:v>1.0057199999999999</x:v>
      </x:c>
      <x:c r="M113">
        <x:v>1.0054099999999999</x:v>
      </x:c>
    </x:row>
    <x:row r="114">
      <x:c r="A114">
        <x:v>6.27</x:v>
      </x:c>
      <x:c r="B114">
        <x:v>0.99872799999999995</x:v>
      </x:c>
      <x:c r="C114">
        <x:v>0.99623600000000001</x:v>
      </x:c>
      <x:c r="F114">
        <x:v>6.27</x:v>
      </x:c>
      <x:c r="G114">
        <x:v>0.96751100000000001</x:v>
      </x:c>
      <x:c r="H114">
        <x:v>0.96487599999999996</x:v>
      </x:c>
      <x:c r="K114">
        <x:v>6.27</x:v>
      </x:c>
      <x:c r="L114">
        <x:v>1.0059800000000001</x:v>
      </x:c>
      <x:c r="M114">
        <x:v>1.00499</x:v>
      </x:c>
    </x:row>
    <x:row r="115">
      <x:c r="A115">
        <x:v>6.33</x:v>
      </x:c>
      <x:c r="B115">
        <x:v>1.0056099999999999</x:v>
      </x:c>
      <x:c r="C115">
        <x:v>1.0070600000000001</x:v>
      </x:c>
      <x:c r="F115">
        <x:v>6.33</x:v>
      </x:c>
      <x:c r="G115">
        <x:v>0.96869700000000003</x:v>
      </x:c>
      <x:c r="H115">
        <x:v>0.965696</x:v>
      </x:c>
      <x:c r="K115">
        <x:v>6.33</x:v>
      </x:c>
      <x:c r="L115">
        <x:v>1.00552</x:v>
      </x:c>
      <x:c r="M115">
        <x:v>1.00501</x:v>
      </x:c>
    </x:row>
    <x:row r="116">
      <x:c r="A116">
        <x:v>6.39</x:v>
      </x:c>
      <x:c r="B116">
        <x:v>1.0121899999999999</x:v>
      </x:c>
      <x:c r="C116">
        <x:v>1.0182800000000001</x:v>
      </x:c>
      <x:c r="F116">
        <x:v>6.39</x:v>
      </x:c>
      <x:c r="G116">
        <x:v>0.969001</x:v>
      </x:c>
      <x:c r="H116">
        <x:v>0.96819699999999997</x:v>
      </x:c>
      <x:c r="K116">
        <x:v>6.39</x:v>
      </x:c>
      <x:c r="L116">
        <x:v>1.0041</x:v>
      </x:c>
      <x:c r="M116">
        <x:v>1.0041</x:v>
      </x:c>
    </x:row>
    <x:row r="117">
      <x:c r="A117">
        <x:v>6.45</x:v>
      </x:c>
      <x:c r="B117">
        <x:v>1.0221</x:v>
      </x:c>
      <x:c r="C117">
        <x:v>1.0254300000000001</x:v>
      </x:c>
      <x:c r="F117">
        <x:v>6.45</x:v>
      </x:c>
      <x:c r="G117">
        <x:v>0.97290600000000005</x:v>
      </x:c>
      <x:c r="H117">
        <x:v>0.97171700000000005</x:v>
      </x:c>
      <x:c r="K117">
        <x:v>6.45</x:v>
      </x:c>
      <x:c r="L117">
        <x:v>1.00187</x:v>
      </x:c>
      <x:c r="M117">
        <x:v>1.0024599999999999</x:v>
      </x:c>
    </x:row>
    <x:row r="118">
      <x:c r="A118">
        <x:v>6.51</x:v>
      </x:c>
      <x:c r="B118">
        <x:v>1.02782</x:v>
      </x:c>
      <x:c r="C118">
        <x:v>1.0320199999999999</x:v>
      </x:c>
      <x:c r="F118">
        <x:v>6.51</x:v>
      </x:c>
      <x:c r="G118">
        <x:v>0.97615499999999999</x:v>
      </x:c>
      <x:c r="H118">
        <x:v>0.97432600000000003</x:v>
      </x:c>
      <x:c r="K118">
        <x:v>6.51</x:v>
      </x:c>
      <x:c r="L118">
        <x:v>1.00343</x:v>
      </x:c>
      <x:c r="M118">
        <x:v>1.00068</x:v>
      </x:c>
    </x:row>
    <x:row r="119">
      <x:c r="A119">
        <x:v>6.57</x:v>
      </x:c>
      <x:c r="B119">
        <x:v>1.0310900000000001</x:v>
      </x:c>
      <x:c r="C119">
        <x:v>1.0383500000000001</x:v>
      </x:c>
      <x:c r="F119">
        <x:v>6.57</x:v>
      </x:c>
      <x:c r="G119">
        <x:v>0.98255099999999995</x:v>
      </x:c>
      <x:c r="H119">
        <x:v>0.97974499999999998</x:v>
      </x:c>
      <x:c r="K119">
        <x:v>6.57</x:v>
      </x:c>
      <x:c r="L119">
        <x:v>1.00065</x:v>
      </x:c>
      <x:c r="M119">
        <x:v>0.99961999999999995</x:v>
      </x:c>
    </x:row>
    <x:row r="120">
      <x:c r="A120">
        <x:v>6.63</x:v>
      </x:c>
      <x:c r="B120">
        <x:v>1.0404100000000001</x:v>
      </x:c>
      <x:c r="C120">
        <x:v>1.04548</x:v>
      </x:c>
      <x:c r="F120">
        <x:v>6.63</x:v>
      </x:c>
      <x:c r="G120">
        <x:v>0.98645000000000005</x:v>
      </x:c>
      <x:c r="H120">
        <x:v>0.98410699999999995</x:v>
      </x:c>
      <x:c r="K120">
        <x:v>6.63</x:v>
      </x:c>
      <x:c r="L120">
        <x:v>0.99942200000000003</x:v>
      </x:c>
      <x:c r="M120">
        <x:v>0.99822100000000002</x:v>
      </x:c>
    </x:row>
    <x:row r="121">
      <x:c r="A121">
        <x:v>6.69</x:v>
      </x:c>
      <x:c r="B121">
        <x:v>1.04009</x:v>
      </x:c>
      <x:c r="C121">
        <x:v>1.0480400000000001</x:v>
      </x:c>
      <x:c r="F121">
        <x:v>6.69</x:v>
      </x:c>
      <x:c r="G121">
        <x:v>0.98902999999999996</x:v>
      </x:c>
      <x:c r="H121">
        <x:v>0.98930700000000005</x:v>
      </x:c>
      <x:c r="K121">
        <x:v>6.69</x:v>
      </x:c>
      <x:c r="L121">
        <x:v>0.99987300000000001</x:v>
      </x:c>
      <x:c r="M121">
        <x:v>0.99822900000000003</x:v>
      </x:c>
    </x:row>
    <x:row r="122">
      <x:c r="A122">
        <x:v>6.75</x:v>
      </x:c>
      <x:c r="B122">
        <x:v>1.04908</x:v>
      </x:c>
      <x:c r="C122">
        <x:v>1.0492999999999999</x:v>
      </x:c>
      <x:c r="F122">
        <x:v>6.75</x:v>
      </x:c>
      <x:c r="G122">
        <x:v>0.99557200000000001</x:v>
      </x:c>
      <x:c r="H122">
        <x:v>0.99406300000000003</x:v>
      </x:c>
      <x:c r="K122">
        <x:v>6.75</x:v>
      </x:c>
      <x:c r="L122">
        <x:v>0.99785599999999997</x:v>
      </x:c>
      <x:c r="M122">
        <x:v>0.99733700000000003</x:v>
      </x:c>
    </x:row>
    <x:row r="123">
      <x:c r="A123">
        <x:v>6.81</x:v>
      </x:c>
      <x:c r="B123">
        <x:v>1.0457799999999999</x:v>
      </x:c>
      <x:c r="C123">
        <x:v>1.04958</x:v>
      </x:c>
      <x:c r="F123">
        <x:v>6.81</x:v>
      </x:c>
      <x:c r="G123">
        <x:v>0.99895299999999998</x:v>
      </x:c>
      <x:c r="H123">
        <x:v>0.99880599999999997</x:v>
      </x:c>
      <x:c r="K123">
        <x:v>6.81</x:v>
      </x:c>
      <x:c r="L123">
        <x:v>0.99723899999999999</x:v>
      </x:c>
      <x:c r="M123">
        <x:v>0.99777199999999999</x:v>
      </x:c>
    </x:row>
    <x:row r="124">
      <x:c r="A124">
        <x:v>6.87</x:v>
      </x:c>
      <x:c r="B124">
        <x:v>1.04809</x:v>
      </x:c>
      <x:c r="C124">
        <x:v>1.04914</x:v>
      </x:c>
      <x:c r="F124">
        <x:v>6.87</x:v>
      </x:c>
      <x:c r="G124">
        <x:v>1.00183</x:v>
      </x:c>
      <x:c r="H124">
        <x:v>1.00257</x:v>
      </x:c>
      <x:c r="K124">
        <x:v>6.87</x:v>
      </x:c>
      <x:c r="L124">
        <x:v>0.99724299999999999</x:v>
      </x:c>
      <x:c r="M124">
        <x:v>0.99758000000000002</x:v>
      </x:c>
    </x:row>
    <x:row r="125">
      <x:c r="A125">
        <x:v>6.93</x:v>
      </x:c>
      <x:c r="B125">
        <x:v>1.0396099999999999</x:v>
      </x:c>
      <x:c r="C125">
        <x:v>1.0471699999999999</x:v>
      </x:c>
      <x:c r="F125">
        <x:v>6.93</x:v>
      </x:c>
      <x:c r="G125">
        <x:v>1.0067699999999999</x:v>
      </x:c>
      <x:c r="H125">
        <x:v>1.00753</x:v>
      </x:c>
      <x:c r="K125">
        <x:v>6.93</x:v>
      </x:c>
      <x:c r="L125">
        <x:v>0.99850000000000005</x:v>
      </x:c>
      <x:c r="M125">
        <x:v>0.99814700000000001</x:v>
      </x:c>
    </x:row>
    <x:row r="126">
      <x:c r="A126">
        <x:v>6.99</x:v>
      </x:c>
      <x:c r="B126">
        <x:v>1.03881</x:v>
      </x:c>
      <x:c r="C126">
        <x:v>1.04541</x:v>
      </x:c>
      <x:c r="F126">
        <x:v>6.99</x:v>
      </x:c>
      <x:c r="G126">
        <x:v>1.00969</x:v>
      </x:c>
      <x:c r="H126">
        <x:v>1.01149</x:v>
      </x:c>
      <x:c r="K126">
        <x:v>6.99</x:v>
      </x:c>
      <x:c r="L126">
        <x:v>0.99978199999999995</x:v>
      </x:c>
      <x:c r="M126">
        <x:v>0.99897999999999998</x:v>
      </x:c>
    </x:row>
    <x:row r="127">
      <x:c r="A127">
        <x:v>7.05</x:v>
      </x:c>
      <x:c r="B127">
        <x:v>1.03742</x:v>
      </x:c>
      <x:c r="C127">
        <x:v>1.04172</x:v>
      </x:c>
      <x:c r="F127">
        <x:v>7.05</x:v>
      </x:c>
      <x:c r="G127">
        <x:v>1.0130300000000001</x:v>
      </x:c>
      <x:c r="H127">
        <x:v>1.0148699999999999</x:v>
      </x:c>
      <x:c r="K127">
        <x:v>7.05</x:v>
      </x:c>
      <x:c r="L127">
        <x:v>0.99871600000000005</x:v>
      </x:c>
      <x:c r="M127">
        <x:v>0.99913399999999997</x:v>
      </x:c>
    </x:row>
    <x:row r="128">
      <x:c r="A128">
        <x:v>7.11</x:v>
      </x:c>
      <x:c r="B128">
        <x:v>1.03331</x:v>
      </x:c>
      <x:c r="C128">
        <x:v>1.03687</x:v>
      </x:c>
      <x:c r="F128">
        <x:v>7.11</x:v>
      </x:c>
      <x:c r="G128">
        <x:v>1.0165</x:v>
      </x:c>
      <x:c r="H128">
        <x:v>1.0187900000000001</x:v>
      </x:c>
      <x:c r="K128">
        <x:v>7.11</x:v>
      </x:c>
      <x:c r="L128">
        <x:v>0.99981299999999995</x:v>
      </x:c>
      <x:c r="M128">
        <x:v>0.999726</x:v>
      </x:c>
    </x:row>
    <x:row r="129">
      <x:c r="A129">
        <x:v>7.17</x:v>
      </x:c>
      <x:c r="B129">
        <x:v>1.03027</x:v>
      </x:c>
      <x:c r="C129">
        <x:v>1.03264</x:v>
      </x:c>
      <x:c r="F129">
        <x:v>7.17</x:v>
      </x:c>
      <x:c r="G129">
        <x:v>1.0185900000000001</x:v>
      </x:c>
      <x:c r="H129">
        <x:v>1.02017</x:v>
      </x:c>
      <x:c r="K129">
        <x:v>7.17</x:v>
      </x:c>
      <x:c r="L129">
        <x:v>0.99996300000000005</x:v>
      </x:c>
      <x:c r="M129">
        <x:v>1.0020199999999999</x:v>
      </x:c>
    </x:row>
    <x:row r="130">
      <x:c r="A130">
        <x:v>7.23</x:v>
      </x:c>
      <x:c r="B130">
        <x:v>1.02586</x:v>
      </x:c>
      <x:c r="C130">
        <x:v>1.0263199999999999</x:v>
      </x:c>
      <x:c r="F130">
        <x:v>7.23</x:v>
      </x:c>
      <x:c r="G130">
        <x:v>1.0199100000000001</x:v>
      </x:c>
      <x:c r="H130">
        <x:v>1.0221199999999999</x:v>
      </x:c>
      <x:c r="K130">
        <x:v>7.23</x:v>
      </x:c>
      <x:c r="L130">
        <x:v>1.0027299999999999</x:v>
      </x:c>
      <x:c r="M130">
        <x:v>1.0021</x:v>
      </x:c>
    </x:row>
    <x:row r="131">
      <x:c r="A131">
        <x:v>7.29</x:v>
      </x:c>
      <x:c r="B131">
        <x:v>1.0243</x:v>
      </x:c>
      <x:c r="C131">
        <x:v>1.0214399999999999</x:v>
      </x:c>
      <x:c r="F131">
        <x:v>7.29</x:v>
      </x:c>
      <x:c r="G131">
        <x:v>1.02285</x:v>
      </x:c>
      <x:c r="H131">
        <x:v>1.0237799999999999</x:v>
      </x:c>
      <x:c r="K131">
        <x:v>7.29</x:v>
      </x:c>
      <x:c r="L131">
        <x:v>1.00234</x:v>
      </x:c>
      <x:c r="M131">
        <x:v>1.0026900000000001</x:v>
      </x:c>
    </x:row>
    <x:row r="132">
      <x:c r="A132">
        <x:v>7.35</x:v>
      </x:c>
      <x:c r="B132">
        <x:v>1.0184599999999999</x:v>
      </x:c>
      <x:c r="C132">
        <x:v>1.01729</x:v>
      </x:c>
      <x:c r="F132">
        <x:v>7.35</x:v>
      </x:c>
      <x:c r="G132">
        <x:v>1.02325</x:v>
      </x:c>
      <x:c r="H132">
        <x:v>1.02478</x:v>
      </x:c>
      <x:c r="K132">
        <x:v>7.35</x:v>
      </x:c>
      <x:c r="L132">
        <x:v>1.00285</x:v>
      </x:c>
      <x:c r="M132">
        <x:v>1.0034799999999999</x:v>
      </x:c>
    </x:row>
    <x:row r="133">
      <x:c r="A133">
        <x:v>7.41</x:v>
      </x:c>
      <x:c r="B133">
        <x:v>1.01309</x:v>
      </x:c>
      <x:c r="C133">
        <x:v>1.0102</x:v>
      </x:c>
      <x:c r="F133">
        <x:v>7.41</x:v>
      </x:c>
      <x:c r="G133">
        <x:v>1.0237400000000001</x:v>
      </x:c>
      <x:c r="H133">
        <x:v>1.0247900000000001</x:v>
      </x:c>
      <x:c r="K133">
        <x:v>7.41</x:v>
      </x:c>
      <x:c r="L133">
        <x:v>1.00329</x:v>
      </x:c>
      <x:c r="M133">
        <x:v>1.00403</x:v>
      </x:c>
    </x:row>
    <x:row r="134">
      <x:c r="A134">
        <x:v>7.47</x:v>
      </x:c>
      <x:c r="B134">
        <x:v>1.00526</x:v>
      </x:c>
      <x:c r="C134">
        <x:v>1.0055499999999999</x:v>
      </x:c>
      <x:c r="F134">
        <x:v>7.47</x:v>
      </x:c>
      <x:c r="G134">
        <x:v>1.0233300000000001</x:v>
      </x:c>
      <x:c r="H134">
        <x:v>1.0238499999999999</x:v>
      </x:c>
      <x:c r="K134">
        <x:v>7.47</x:v>
      </x:c>
      <x:c r="L134">
        <x:v>1.00606</x:v>
      </x:c>
      <x:c r="M134">
        <x:v>1.0051000000000001</x:v>
      </x:c>
    </x:row>
    <x:row r="135">
      <x:c r="A135">
        <x:v>7.53</x:v>
      </x:c>
      <x:c r="B135">
        <x:v>1.0011399999999999</x:v>
      </x:c>
      <x:c r="C135">
        <x:v>0.99989399999999995</x:v>
      </x:c>
      <x:c r="F135">
        <x:v>7.53</x:v>
      </x:c>
      <x:c r="G135">
        <x:v>1.0227599999999999</x:v>
      </x:c>
      <x:c r="H135">
        <x:v>1.02342</x:v>
      </x:c>
      <x:c r="K135">
        <x:v>7.53</x:v>
      </x:c>
      <x:c r="L135">
        <x:v>1.0049399999999999</x:v>
      </x:c>
      <x:c r="M135">
        <x:v>1.0054700000000001</x:v>
      </x:c>
    </x:row>
    <x:row r="136">
      <x:c r="A136">
        <x:v>7.59</x:v>
      </x:c>
      <x:c r="B136">
        <x:v>0.99880999999999998</x:v>
      </x:c>
      <x:c r="C136">
        <x:v>0.99622599999999994</x:v>
      </x:c>
      <x:c r="F136">
        <x:v>7.59</x:v>
      </x:c>
      <x:c r="G136">
        <x:v>1.0205500000000001</x:v>
      </x:c>
      <x:c r="H136">
        <x:v>1.02186</x:v>
      </x:c>
      <x:c r="K136">
        <x:v>7.59</x:v>
      </x:c>
      <x:c r="L136">
        <x:v>1.0040199999999999</x:v>
      </x:c>
      <x:c r="M136">
        <x:v>1.00613</x:v>
      </x:c>
    </x:row>
    <x:row r="137">
      <x:c r="A137">
        <x:v>7.65</x:v>
      </x:c>
      <x:c r="B137">
        <x:v>0.99185400000000001</x:v>
      </x:c>
      <x:c r="C137">
        <x:v>0.99183299999999996</x:v>
      </x:c>
      <x:c r="F137">
        <x:v>7.65</x:v>
      </x:c>
      <x:c r="G137">
        <x:v>1.01912</x:v>
      </x:c>
      <x:c r="H137">
        <x:v>1.02078</x:v>
      </x:c>
      <x:c r="K137">
        <x:v>7.65</x:v>
      </x:c>
      <x:c r="L137">
        <x:v>1.0059800000000001</x:v>
      </x:c>
      <x:c r="M137">
        <x:v>1.00631</x:v>
      </x:c>
    </x:row>
    <x:row r="138">
      <x:c r="A138">
        <x:v>7.71</x:v>
      </x:c>
      <x:c r="B138">
        <x:v>0.99232100000000001</x:v>
      </x:c>
      <x:c r="C138">
        <x:v>0.98972300000000002</x:v>
      </x:c>
      <x:c r="F138">
        <x:v>7.71</x:v>
      </x:c>
      <x:c r="G138">
        <x:v>1.01742</x:v>
      </x:c>
      <x:c r="H138">
        <x:v>1.0183500000000001</x:v>
      </x:c>
      <x:c r="K138">
        <x:v>7.71</x:v>
      </x:c>
      <x:c r="L138">
        <x:v>1.00552</x:v>
      </x:c>
      <x:c r="M138">
        <x:v>1.00678</x:v>
      </x:c>
    </x:row>
    <x:row r="139">
      <x:c r="A139">
        <x:v>7.77</x:v>
      </x:c>
      <x:c r="B139">
        <x:v>0.98512999999999995</x:v>
      </x:c>
      <x:c r="C139">
        <x:v>0.98760300000000001</x:v>
      </x:c>
      <x:c r="F139">
        <x:v>7.77</x:v>
      </x:c>
      <x:c r="G139">
        <x:v>1.0142</x:v>
      </x:c>
      <x:c r="H139">
        <x:v>1.01627</x:v>
      </x:c>
      <x:c r="K139">
        <x:v>7.77</x:v>
      </x:c>
      <x:c r="L139">
        <x:v>1.0057799999999999</x:v>
      </x:c>
      <x:c r="M139">
        <x:v>1.0073799999999999</x:v>
      </x:c>
    </x:row>
    <x:row r="140">
      <x:c r="A140">
        <x:v>7.83</x:v>
      </x:c>
      <x:c r="B140">
        <x:v>0.99039100000000002</x:v>
      </x:c>
      <x:c r="C140">
        <x:v>0.98479499999999998</x:v>
      </x:c>
      <x:c r="F140">
        <x:v>7.83</x:v>
      </x:c>
      <x:c r="G140">
        <x:v>1.01095</x:v>
      </x:c>
      <x:c r="H140">
        <x:v>1.0123800000000001</x:v>
      </x:c>
      <x:c r="K140">
        <x:v>7.83</x:v>
      </x:c>
      <x:c r="L140">
        <x:v>1.00587</x:v>
      </x:c>
      <x:c r="M140">
        <x:v>1.00743</x:v>
      </x:c>
    </x:row>
    <x:row r="141">
      <x:c r="A141">
        <x:v>7.89</x:v>
      </x:c>
      <x:c r="B141">
        <x:v>0.98612200000000005</x:v>
      </x:c>
      <x:c r="C141">
        <x:v>0.98236900000000005</x:v>
      </x:c>
      <x:c r="F141">
        <x:v>7.89</x:v>
      </x:c>
      <x:c r="G141">
        <x:v>1.0088200000000001</x:v>
      </x:c>
      <x:c r="H141">
        <x:v>1.01095</x:v>
      </x:c>
      <x:c r="K141">
        <x:v>7.89</x:v>
      </x:c>
      <x:c r="L141">
        <x:v>1.0070699999999999</x:v>
      </x:c>
      <x:c r="M141">
        <x:v>1.0068600000000001</x:v>
      </x:c>
    </x:row>
    <x:row r="142">
      <x:c r="A142">
        <x:v>7.95</x:v>
      </x:c>
      <x:c r="B142">
        <x:v>0.98714400000000002</x:v>
      </x:c>
      <x:c r="C142">
        <x:v>0.98339600000000005</x:v>
      </x:c>
      <x:c r="F142">
        <x:v>7.95</x:v>
      </x:c>
      <x:c r="G142">
        <x:v>1.0069600000000001</x:v>
      </x:c>
      <x:c r="H142">
        <x:v>1.0068699999999999</x:v>
      </x:c>
      <x:c r="K142">
        <x:v>7.95</x:v>
      </x:c>
      <x:c r="L142">
        <x:v>1.0047200000000001</x:v>
      </x:c>
      <x:c r="M142">
        <x:v>1.0065299999999999</x:v>
      </x:c>
    </x:row>
    <x:row r="143">
      <x:c r="A143">
        <x:v>8.01</x:v>
      </x:c>
      <x:c r="B143">
        <x:v>0.98584099999999997</x:v>
      </x:c>
      <x:c r="C143">
        <x:v>0.98394199999999998</x:v>
      </x:c>
      <x:c r="F143">
        <x:v>8.01</x:v>
      </x:c>
      <x:c r="G143">
        <x:v>1.0042500000000001</x:v>
      </x:c>
      <x:c r="H143">
        <x:v>1.0036499999999999</x:v>
      </x:c>
      <x:c r="K143">
        <x:v>8.01</x:v>
      </x:c>
      <x:c r="L143">
        <x:v>1.0073399999999999</x:v>
      </x:c>
      <x:c r="M143">
        <x:v>1.0066999999999999</x:v>
      </x:c>
    </x:row>
    <x:row r="144">
      <x:c r="A144">
        <x:v>8.07</x:v>
      </x:c>
      <x:c r="B144">
        <x:v>0.98537600000000003</x:v>
      </x:c>
      <x:c r="C144">
        <x:v>0.98497400000000002</x:v>
      </x:c>
      <x:c r="F144">
        <x:v>8.07</x:v>
      </x:c>
      <x:c r="G144">
        <x:v>1.00115</x:v>
      </x:c>
      <x:c r="H144">
        <x:v>1.0015099999999999</x:v>
      </x:c>
      <x:c r="K144">
        <x:v>8.07</x:v>
      </x:c>
      <x:c r="L144">
        <x:v>1.0059499999999999</x:v>
      </x:c>
      <x:c r="M144">
        <x:v>1.0069300000000001</x:v>
      </x:c>
    </x:row>
    <x:row r="145">
      <x:c r="A145">
        <x:v>8.1300000000000008</x:v>
      </x:c>
      <x:c r="B145">
        <x:v>0.98517999999999994</x:v>
      </x:c>
      <x:c r="C145">
        <x:v>0.98487400000000003</x:v>
      </x:c>
      <x:c r="F145">
        <x:v>8.1300000000000008</x:v>
      </x:c>
      <x:c r="G145">
        <x:v>0.997695</x:v>
      </x:c>
      <x:c r="H145">
        <x:v>0.99889300000000003</x:v>
      </x:c>
      <x:c r="K145">
        <x:v>8.1300000000000008</x:v>
      </x:c>
      <x:c r="L145">
        <x:v>1.0049699999999999</x:v>
      </x:c>
      <x:c r="M145">
        <x:v>1.00613</x:v>
      </x:c>
    </x:row>
    <x:row r="146">
      <x:c r="A146">
        <x:v>8.19</x:v>
      </x:c>
      <x:c r="B146">
        <x:v>0.98468500000000003</x:v>
      </x:c>
      <x:c r="C146">
        <x:v>0.985842</x:v>
      </x:c>
      <x:c r="F146">
        <x:v>8.19</x:v>
      </x:c>
      <x:c r="G146">
        <x:v>0.99596700000000005</x:v>
      </x:c>
      <x:c r="H146">
        <x:v>0.99592999999999998</x:v>
      </x:c>
      <x:c r="K146">
        <x:v>8.19</x:v>
      </x:c>
      <x:c r="L146">
        <x:v>1.0061</x:v>
      </x:c>
      <x:c r="M146">
        <x:v>1.0056799999999999</x:v>
      </x:c>
    </x:row>
    <x:row r="147">
      <x:c r="A147">
        <x:v>8.25</x:v>
      </x:c>
      <x:c r="B147">
        <x:v>0.99089000000000005</x:v>
      </x:c>
      <x:c r="C147">
        <x:v>0.98769300000000004</x:v>
      </x:c>
      <x:c r="F147">
        <x:v>8.25</x:v>
      </x:c>
      <x:c r="G147">
        <x:v>0.99290299999999998</x:v>
      </x:c>
      <x:c r="H147">
        <x:v>0.993483</x:v>
      </x:c>
      <x:c r="K147">
        <x:v>8.25</x:v>
      </x:c>
      <x:c r="L147">
        <x:v>1.00542</x:v>
      </x:c>
      <x:c r="M147">
        <x:v>1.00498</x:v>
      </x:c>
    </x:row>
    <x:row r="148">
      <x:c r="A148">
        <x:v>8.31</x:v>
      </x:c>
      <x:c r="B148">
        <x:v>0.98651599999999995</x:v>
      </x:c>
      <x:c r="C148">
        <x:v>0.98993200000000003</x:v>
      </x:c>
      <x:c r="F148">
        <x:v>8.31</x:v>
      </x:c>
      <x:c r="G148">
        <x:v>0.99160099999999995</x:v>
      </x:c>
      <x:c r="H148">
        <x:v>0.99109999999999998</x:v>
      </x:c>
      <x:c r="K148">
        <x:v>8.31</x:v>
      </x:c>
      <x:c r="L148">
        <x:v>1.00465</x:v>
      </x:c>
      <x:c r="M148">
        <x:v>1.00454</x:v>
      </x:c>
    </x:row>
    <x:row r="149">
      <x:c r="A149">
        <x:v>8.3699999999999992</x:v>
      </x:c>
      <x:c r="B149">
        <x:v>0.99153000000000002</x:v>
      </x:c>
      <x:c r="C149">
        <x:v>0.99040899999999998</x:v>
      </x:c>
      <x:c r="F149">
        <x:v>8.3699999999999992</x:v>
      </x:c>
      <x:c r="G149">
        <x:v>0.99032200000000004</x:v>
      </x:c>
      <x:c r="H149">
        <x:v>0.99059399999999997</x:v>
      </x:c>
      <x:c r="K149">
        <x:v>8.3699999999999992</x:v>
      </x:c>
      <x:c r="L149">
        <x:v>1.0034400000000001</x:v>
      </x:c>
      <x:c r="M149">
        <x:v>1.0032300000000001</x:v>
      </x:c>
    </x:row>
    <x:row r="150">
      <x:c r="A150">
        <x:v>8.43</x:v>
      </x:c>
      <x:c r="B150">
        <x:v>0.99184000000000005</x:v>
      </x:c>
      <x:c r="C150">
        <x:v>0.99365800000000004</x:v>
      </x:c>
      <x:c r="F150">
        <x:v>8.43</x:v>
      </x:c>
      <x:c r="G150">
        <x:v>0.99009199999999997</x:v>
      </x:c>
      <x:c r="H150">
        <x:v>0.98854500000000001</x:v>
      </x:c>
      <x:c r="K150">
        <x:v>8.43</x:v>
      </x:c>
      <x:c r="L150">
        <x:v>1.00224</x:v>
      </x:c>
      <x:c r="M150">
        <x:v>1.0024500000000001</x:v>
      </x:c>
    </x:row>
    <x:row r="151">
      <x:c r="A151">
        <x:v>8.49</x:v>
      </x:c>
      <x:c r="B151">
        <x:v>0.99482599999999999</x:v>
      </x:c>
      <x:c r="C151">
        <x:v>0.99589899999999998</x:v>
      </x:c>
      <x:c r="F151">
        <x:v>8.49</x:v>
      </x:c>
      <x:c r="G151">
        <x:v>0.98793900000000001</x:v>
      </x:c>
      <x:c r="H151">
        <x:v>0.98836000000000002</x:v>
      </x:c>
      <x:c r="K151">
        <x:v>8.49</x:v>
      </x:c>
      <x:c r="L151">
        <x:v>1.0006999999999999</x:v>
      </x:c>
      <x:c r="M151">
        <x:v>1.00146</x:v>
      </x:c>
    </x:row>
    <x:row r="152">
      <x:c r="A152">
        <x:v>8.5500000000000007</x:v>
      </x:c>
      <x:c r="B152">
        <x:v>0.99621400000000004</x:v>
      </x:c>
      <x:c r="C152">
        <x:v>0.99754600000000004</x:v>
      </x:c>
      <x:c r="F152">
        <x:v>8.5500000000000007</x:v>
      </x:c>
      <x:c r="G152">
        <x:v>0.98811599999999999</x:v>
      </x:c>
      <x:c r="H152">
        <x:v>0.987236</x:v>
      </x:c>
      <x:c r="K152">
        <x:v>8.5500000000000007</x:v>
      </x:c>
      <x:c r="L152">
        <x:v>1.00078</x:v>
      </x:c>
      <x:c r="M152">
        <x:v>1.00054</x:v>
      </x:c>
    </x:row>
    <x:row r="153">
      <x:c r="A153">
        <x:v>8.61</x:v>
      </x:c>
      <x:c r="B153">
        <x:v>0.99780199999999997</x:v>
      </x:c>
      <x:c r="C153">
        <x:v>0.99898699999999996</x:v>
      </x:c>
      <x:c r="F153">
        <x:v>8.61</x:v>
      </x:c>
      <x:c r="G153">
        <x:v>0.987927</x:v>
      </x:c>
      <x:c r="H153">
        <x:v>0.98756500000000003</x:v>
      </x:c>
      <x:c r="K153">
        <x:v>8.61</x:v>
      </x:c>
      <x:c r="L153">
        <x:v>1.00014</x:v>
      </x:c>
      <x:c r="M153">
        <x:v>0.99970800000000004</x:v>
      </x:c>
    </x:row>
    <x:row r="154">
      <x:c r="A154">
        <x:v>8.67</x:v>
      </x:c>
      <x:c r="B154">
        <x:v>0.99990699999999999</x:v>
      </x:c>
      <x:c r="C154">
        <x:v>1.0000599999999999</x:v>
      </x:c>
      <x:c r="F154">
        <x:v>8.67</x:v>
      </x:c>
      <x:c r="G154">
        <x:v>0.98913200000000001</x:v>
      </x:c>
      <x:c r="H154">
        <x:v>0.98791399999999996</x:v>
      </x:c>
      <x:c r="K154">
        <x:v>8.67</x:v>
      </x:c>
      <x:c r="L154">
        <x:v>0.99781600000000004</x:v>
      </x:c>
      <x:c r="M154">
        <x:v>0.99795299999999998</x:v>
      </x:c>
    </x:row>
    <x:row r="155">
      <x:c r="A155">
        <x:v>8.73</x:v>
      </x:c>
      <x:c r="B155">
        <x:v>1.0012300000000001</x:v>
      </x:c>
      <x:c r="C155">
        <x:v>1.0016400000000001</x:v>
      </x:c>
      <x:c r="F155">
        <x:v>8.73</x:v>
      </x:c>
      <x:c r="G155">
        <x:v>0.98889899999999997</x:v>
      </x:c>
      <x:c r="H155">
        <x:v>0.98791799999999996</x:v>
      </x:c>
      <x:c r="K155">
        <x:v>8.73</x:v>
      </x:c>
      <x:c r="L155">
        <x:v>0.99739199999999995</x:v>
      </x:c>
      <x:c r="M155">
        <x:v>0.99721499999999996</x:v>
      </x:c>
    </x:row>
    <x:row r="156">
      <x:c r="A156">
        <x:v>8.7899999999999991</x:v>
      </x:c>
      <x:c r="B156">
        <x:v>1.00065</x:v>
      </x:c>
      <x:c r="C156">
        <x:v>1.00284</x:v>
      </x:c>
      <x:c r="F156">
        <x:v>8.7899999999999991</x:v>
      </x:c>
      <x:c r="G156">
        <x:v>0.98989899999999997</x:v>
      </x:c>
      <x:c r="H156">
        <x:v>0.98923099999999997</x:v>
      </x:c>
      <x:c r="K156">
        <x:v>8.7899999999999991</x:v>
      </x:c>
      <x:c r="L156">
        <x:v>0.99473900000000004</x:v>
      </x:c>
      <x:c r="M156">
        <x:v>0.99600999999999995</x:v>
      </x:c>
    </x:row>
    <x:row r="157">
      <x:c r="A157">
        <x:v>8.85</x:v>
      </x:c>
      <x:c r="B157">
        <x:v>1.00119</x:v>
      </x:c>
      <x:c r="C157">
        <x:v>1.00343</x:v>
      </x:c>
      <x:c r="F157">
        <x:v>8.85</x:v>
      </x:c>
      <x:c r="G157">
        <x:v>0.99126999999999998</x:v>
      </x:c>
      <x:c r="H157">
        <x:v>0.98975100000000005</x:v>
      </x:c>
      <x:c r="K157">
        <x:v>8.85</x:v>
      </x:c>
      <x:c r="L157">
        <x:v>0.99514499999999995</x:v>
      </x:c>
      <x:c r="M157">
        <x:v>0.99560000000000004</x:v>
      </x:c>
    </x:row>
    <x:row r="158">
      <x:c r="A158">
        <x:v>8.91</x:v>
      </x:c>
      <x:c r="B158">
        <x:v>1.00393</x:v>
      </x:c>
      <x:c r="C158">
        <x:v>1.00386</x:v>
      </x:c>
      <x:c r="F158">
        <x:v>8.91</x:v>
      </x:c>
      <x:c r="G158">
        <x:v>0.99185900000000005</x:v>
      </x:c>
      <x:c r="H158">
        <x:v>0.991255</x:v>
      </x:c>
      <x:c r="K158">
        <x:v>8.91</x:v>
      </x:c>
      <x:c r="L158">
        <x:v>0.995139</x:v>
      </x:c>
      <x:c r="M158">
        <x:v>0.99465999999999999</x:v>
      </x:c>
    </x:row>
    <x:row r="159">
      <x:c r="A159">
        <x:v>8.9700000000000006</x:v>
      </x:c>
      <x:c r="B159">
        <x:v>1.00396</x:v>
      </x:c>
      <x:c r="C159">
        <x:v>1.00379</x:v>
      </x:c>
      <x:c r="F159">
        <x:v>8.9700000000000006</x:v>
      </x:c>
      <x:c r="G159">
        <x:v>0.99539999999999995</x:v>
      </x:c>
      <x:c r="H159">
        <x:v>0.992614</x:v>
      </x:c>
      <x:c r="K159">
        <x:v>8.9700000000000006</x:v>
      </x:c>
      <x:c r="L159">
        <x:v>0.99470700000000001</x:v>
      </x:c>
      <x:c r="M159">
        <x:v>0.99491099999999999</x:v>
      </x:c>
    </x:row>
  </x:sheetData>
  <x:pageMargins left="0.7" right="0.7" top="0.75" bottom="0.75" header="0.3" footer="0.3"/>
</x:worksheet>
</file>