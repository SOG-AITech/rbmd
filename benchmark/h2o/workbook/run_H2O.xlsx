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6cb40492a642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RONG" sheetId="1" r:id="Rd3355f3ecd83402e"/>
    <x:sheet xmlns:r="http://schemas.openxmlformats.org/officeDocument/2006/relationships" name="linear" sheetId="4" r:id="R949e390a2f1c4ffd"/>
    <x:sheet xmlns:r="http://schemas.openxmlformats.org/officeDocument/2006/relationships" name="WEAK" sheetId="2" r:id="Rbc755109f62142f5"/>
    <x:sheet xmlns:r="http://schemas.openxmlformats.org/officeDocument/2006/relationships" name="RDF" sheetId="3" r:id="Ra571f2baa9ed44e7"/>
  </x:sheets>
</x:workbook>
</file>

<file path=xl/sharedStrings.xml><?xml version="1.0" encoding="utf-8"?>
<x:sst xmlns:x="http://schemas.openxmlformats.org/spreadsheetml/2006/main">
  <x:si>
    <x:t xml:space="preserve">short</x:t>
  </x:si>
  <x:si>
    <x:t xml:space="preserve">long</x:t>
  </x:si>
  <x:si>
    <x:t xml:space="preserve">short+long</x:t>
  </x:si>
  <x:si>
    <x:t xml:space="preserve">Water: fixed 1 node / 4 GPU, up to 15,763,896 atoms</x:t>
  </x:si>
  <x:si>
    <x:t xml:space="preserve">RBMD time/step (RBL 9/5, n=30; RBE P=200; 1000 steps)</x:t>
  </x:si>
  <x:si>
    <x:t xml:space="preserve">atoms</x:t>
  </x:si>
  <x:si>
    <x:t xml:space="preserve">avg time per step/s ,lammps-kokkos</x:t>
  </x:si>
  <x:si>
    <x:t xml:space="preserve">avg time per step/s,rbmd</x:t>
  </x:si>
  <x:si>
    <x:t xml:space="preserve">1GPU</x:t>
  </x:si>
  <x:si>
    <x:t xml:space="preserve">2GPU</x:t>
  </x:si>
  <x:si>
    <x:t xml:space="preserve">4GPU</x:t>
  </x:si>
  <x:si>
    <x:t xml:space="preserve">8GPU</x:t>
  </x:si>
  <x:si>
    <x:t xml:space="preserve">16GPU</x:t>
  </x:si>
  <x:si>
    <x:t xml:space="preserve">32GPU</x:t>
  </x:si>
  <x:si>
    <x:t xml:space="preserve">64GPU</x:t>
  </x:si>
  <x:si>
    <x:t xml:space="preserve">SPC/E Water RDF：LAMMPS VL/P700 vs RBMD RBE/P200 + RBL 9/5 n=30；120 bins；rmax=10 Å</x:t>
  </x:si>
  <x:si>
    <x:t xml:space="preserve">20,000–30,000 steps；101 frames；三组第一峰高度相对偏差平均值=2.022%（&lt;3%）。</x:t>
  </x:si>
  <x:si>
    <x:t xml:space="preserve">O–O</x:t>
  </x:si>
  <x:si>
    <x:t xml:space="preserve">O–H</x:t>
  </x:si>
  <x:si>
    <x:t xml:space="preserve">H–H</x:t>
  </x:si>
  <x:si>
    <x:t xml:space="preserve">r</x:t>
  </x:si>
  <x:si>
    <x:t xml:space="preserve">lammps</x:t>
  </x:si>
  <x:si>
    <x:t xml:space="preserve">rbmd</x:t>
  </x:si>
</x:sst>
</file>

<file path=xl/styles.xml><?xml version="1.0" encoding="utf-8"?>
<x:styleSheet xmlns:x="http://schemas.openxmlformats.org/spreadsheetml/2006/main">
  <x:numFmts count="1">
    <x:numFmt numFmtId="176" formatCode="0.000000"/>
  </x:numFmts>
  <x:fonts count="10">
    <x:font>
      <x:sz val="11"/>
      <x:name val="Carlito"/>
    </x:font>
    <x:font>
      <x:sz val="11"/>
      <x:name val="Carlito"/>
    </x:font>
    <x:font>
      <x:sz val="9"/>
      <x:name val="FangSong"/>
    </x:font>
    <x:font>
      <x:sz val="10"/>
      <x:color theme="1"/>
      <x:name val="Calibri"/>
    </x:font>
    <x:font>
      <x:b/>
      <x:sz val="11"/>
      <x:name val="Carlito"/>
    </x:font>
    <x:font>
      <x:sz val="10"/>
      <x:color rgb="FF333333"/>
      <x:name val="Carlito"/>
    </x:font>
    <x:font>
      <x:b/>
      <x:sz val="11"/>
      <x:color rgb="FF1F1F1F"/>
      <x:name val="Carlito"/>
    </x:font>
    <x:font>
      <x:sz val="9"/>
      <x:color rgb="FF595959"/>
      <x:name val="Carlito"/>
    </x:font>
    <x:font>
      <x:b/>
      <x:sz val="11"/>
      <x:color rgb="FF1F2937"/>
      <x:name val="Carlito"/>
    </x:font>
    <x:font>
      <x:sz val="11"/>
      <x:color rgb="FF666666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7F7F7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  <x:fill>
      <x:patternFill patternType="solid">
        <x:fgColor rgb="FFFCE8E6"/>
      </x:patternFill>
    </x:fill>
    <x:fill>
      <x:patternFill patternType="solid">
        <x:fgColor rgb="FFFFF2CC"/>
      </x:patternFill>
    </x:fill>
  </x:fills>
  <x:borders count="13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6B656"/>
      </x:left>
      <x:top style="thin">
        <x:color rgb="FFD6B656"/>
      </x:top>
    </x:border>
    <x:border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  <x:bottom style="thin">
        <x:color rgb="FFD6B656"/>
      </x:bottom>
    </x:border>
    <x:border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bottom style="double">
        <x:color rgb="FF9CA3AF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2">
    <x:xf numFmtId="0" fontId="0" fillId="0" borderId="0"/>
    <x:xf numFmtId="0" fontId="1" fillId="0" borderId="0"/>
  </x:cellStyleXfs>
  <x:cellXfs count="187">
    <x:xf numFmtId="0" fontId="0" fillId="0" borderId="0" xfId="0"/>
    <x:xf numFmtId="176" fontId="3" fillId="0" borderId="1" xfId="0" applyNumberFormat="1" applyFont="1" applyBorder="1"/>
    <x:xf numFmtId="176" fontId="3" fillId="2" borderId="2" xfId="0" applyNumberFormat="1" applyFont="1" applyFill="1" applyBorder="1"/>
    <x:xf numFmtId="0" fontId="4" fillId="3" borderId="3" xfId="0" applyFont="1" applyFill="1" applyBorder="1" applyAlignment="1">
      <x:alignment horizontal="center"/>
    </x:xf>
    <x:xf numFmtId="3" fontId="0" fillId="0" borderId="3" xfId="0" applyNumberFormat="1" applyBorder="1" applyAlignment="1">
      <x:alignment horizontal="right"/>
    </x:xf>
    <x:xf numFmtId="176" fontId="0" fillId="0" borderId="3" xfId="0" applyNumberFormat="1" applyBorder="1" applyAlignment="1">
      <x:alignment horizontal="right"/>
    </x:xf>
    <x:xf numFmtId="176" fontId="0" fillId="0" borderId="0" xfId="0" applyNumberFormat="1"/>
    <x:xf numFmtId="0" fontId="4" fillId="0" borderId="3" xfId="0" applyFont="1" applyBorder="1" applyAlignment="1">
      <x:alignment wrapText="1"/>
    </x:xf>
    <x:xf numFmtId="0" fontId="0" fillId="0" borderId="3" xfId="0" applyBorder="1" applyAlignment="1">
      <x:alignment wrapText="1"/>
    </x:xf>
    <x:xf numFmtId="176" fontId="0" fillId="0" borderId="3" xfId="0" applyNumberFormat="1" applyBorder="1" applyAlignment="1">
      <x:alignment wrapText="1"/>
    </x:xf>
    <x:xf numFmtId="0" fontId="0" fillId="0" borderId="0" xfId="0" applyAlignment="1">
      <x:alignment wrapText="1"/>
    </x:xf>
    <x:xf numFmtId="176" fontId="4" fillId="0" borderId="3" xfId="0" applyNumberFormat="1" applyFont="1" applyBorder="1" applyAlignment="1">
      <x:alignment wrapText="1"/>
    </x:xf>
    <x:xf numFmtId="176" fontId="0" fillId="0" borderId="0" xfId="0" applyNumberFormat="1" applyAlignment="1">
      <x:alignment wrapText="1"/>
    </x:xf>
    <x:xf numFmtId="0" fontId="0" fillId="0" borderId="0" xfId="0"/>
    <x:xf numFmtId="176" fontId="0" fillId="0" borderId="0" xfId="0" applyNumberFormat="1"/>
    <x:xf numFmtId="0" fontId="5" fillId="4" borderId="4" xfId="0" applyFont="1" applyFill="1" applyBorder="1" applyAlignment="1">
      <x:alignment vertical="center" wrapText="1"/>
    </x:xf>
    <x:xf numFmtId="176" fontId="5" fillId="4" borderId="5" xfId="0" applyNumberFormat="1" applyFont="1" applyFill="1" applyBorder="1" applyAlignment="1">
      <x:alignment vertical="center" wrapText="1"/>
    </x:xf>
    <x:xf numFmtId="176" fontId="5" fillId="4" borderId="6" xfId="0" applyNumberFormat="1" applyFont="1" applyFill="1" applyBorder="1" applyAlignment="1">
      <x:alignment vertical="center" wrapText="1"/>
    </x:xf>
    <x:xf numFmtId="0" fontId="5" fillId="4" borderId="7" xfId="0" applyFont="1" applyFill="1" applyBorder="1" applyAlignment="1">
      <x:alignment vertical="center" wrapText="1"/>
    </x:xf>
    <x:xf numFmtId="176" fontId="5" fillId="4" borderId="8" xfId="0" applyNumberFormat="1" applyFont="1" applyFill="1" applyBorder="1" applyAlignment="1">
      <x:alignment vertical="center" wrapText="1"/>
    </x:xf>
    <x:xf numFmtId="176" fontId="5" fillId="4" borderId="9" xfId="0" applyNumberFormat="1" applyFont="1" applyFill="1" applyBorder="1" applyAlignment="1">
      <x:alignment vertical="center" wrapText="1"/>
    </x:xf>
    <x:xf numFmtId="0" fontId="0" fillId="0" borderId="0" xfId="0" applyAlignment="1">
      <x:alignment wrapText="1"/>
    </x:xf>
    <x:xf numFmtId="176" fontId="0" fillId="0" borderId="0" xfId="0" applyNumberFormat="1" applyFont="1" applyFill="1" applyBorder="1"/>
    <x:xf numFmtId="176" fontId="3" fillId="0" borderId="1" xfId="0" applyNumberFormat="1" applyFont="1" applyFill="1" applyBorder="1"/>
    <x:xf numFmtId="0" fontId="0" fillId="0" borderId="3" xfId="0" applyNumberFormat="1" applyFont="1" applyFill="1" applyBorder="1"/>
    <x:xf numFmtId="176" fontId="0" fillId="0" borderId="3" xfId="0" applyNumberFormat="1" applyFont="1" applyFill="1" applyBorder="1"/>
    <x:xf numFmtId="0" fontId="0" fillId="5" borderId="3" xfId="0" applyNumberFormat="1" applyFont="1" applyFill="1" applyBorder="1"/>
    <x:xf numFmtId="176" fontId="0" fillId="5" borderId="3" xfId="0" applyNumberFormat="1" applyFont="1" applyFill="1" applyBorder="1"/>
    <x:xf numFmtId="0" fontId="6" fillId="5" borderId="3" xfId="0" applyNumberFormat="1" applyFont="1" applyFill="1" applyBorder="1"/>
    <x:xf numFmtId="176" fontId="6" fillId="5" borderId="3" xfId="0" applyNumberFormat="1" applyFont="1" applyFill="1" applyBorder="1"/>
    <x:xf numFmtId="0" fontId="6" fillId="5" borderId="3" xfId="0" applyNumberFormat="1" applyFont="1" applyFill="1" applyBorder="1" applyAlignment="1">
      <x:alignment wrapText="1"/>
    </x:xf>
    <x:xf numFmtId="176" fontId="6" fillId="5" borderId="3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horizontal="center" wrapText="1"/>
    </x:xf>
    <x:xf numFmtId="176" fontId="6" fillId="5" borderId="3" xfId="0" applyNumberFormat="1" applyFont="1" applyFill="1" applyBorder="1" applyAlignment="1">
      <x:alignment horizontal="center" wrapText="1"/>
    </x:xf>
    <x:xf numFmtId="0" fontId="6" fillId="5" borderId="3" xfId="0" applyNumberFormat="1" applyFont="1" applyFill="1" applyBorder="1" applyAlignment="1">
      <x:alignment horizontal="center" vertical="center" wrapText="1"/>
    </x:xf>
    <x:xf numFmtId="176" fontId="6" fillId="5" borderId="3" xfId="0" applyNumberFormat="1" applyFont="1" applyFill="1" applyBorder="1" applyAlignment="1">
      <x:alignment horizontal="center" vertical="center" wrapText="1"/>
    </x:xf>
    <x:xf numFmtId="0" fontId="0" fillId="6" borderId="3" xfId="0" applyNumberFormat="1" applyFont="1" applyFill="1" applyBorder="1"/>
    <x:xf numFmtId="176" fontId="0" fillId="6" borderId="3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4" xfId="0" applyNumberFormat="1" applyFont="1" applyFill="1" applyBorder="1"/>
    <x:xf numFmtId="0" fontId="5" fillId="7" borderId="5" xfId="0" applyNumberFormat="1" applyFont="1" applyFill="1" applyBorder="1"/>
    <x:xf numFmtId="0" fontId="5" fillId="7" borderId="6" xfId="0" applyNumberFormat="1" applyFont="1" applyFill="1" applyBorder="1"/>
    <x:xf numFmtId="0" fontId="5" fillId="7" borderId="7" xfId="0" applyNumberFormat="1" applyFont="1" applyFill="1" applyBorder="1"/>
    <x:xf numFmtId="0" fontId="5" fillId="7" borderId="8" xfId="0" applyNumberFormat="1" applyFont="1" applyFill="1" applyBorder="1"/>
    <x:xf numFmtId="0" fontId="5" fillId="7" borderId="9" xfId="0" applyNumberFormat="1" applyFont="1" applyFill="1" applyBorder="1"/>
    <x:xf numFmtId="0" fontId="5" fillId="7" borderId="4" xfId="0" applyNumberFormat="1" applyFont="1" applyFill="1" applyBorder="1" applyAlignment="1">
      <x:alignment wrapText="1"/>
    </x:xf>
    <x:xf numFmtId="0" fontId="5" fillId="7" borderId="5" xfId="0" applyNumberFormat="1" applyFont="1" applyFill="1" applyBorder="1" applyAlignment="1">
      <x:alignment wrapText="1"/>
    </x:xf>
    <x:xf numFmtId="0" fontId="5" fillId="7" borderId="6" xfId="0" applyNumberFormat="1" applyFont="1" applyFill="1" applyBorder="1" applyAlignment="1">
      <x:alignment wrapText="1"/>
    </x:xf>
    <x:xf numFmtId="0" fontId="5" fillId="7" borderId="7" xfId="0" applyNumberFormat="1" applyFont="1" applyFill="1" applyBorder="1" applyAlignment="1">
      <x:alignment wrapText="1"/>
    </x:xf>
    <x:xf numFmtId="0" fontId="5" fillId="7" borderId="8" xfId="0" applyNumberFormat="1" applyFont="1" applyFill="1" applyBorder="1" applyAlignment="1">
      <x:alignment wrapText="1"/>
    </x:xf>
    <x:xf numFmtId="0" fontId="5" fillId="7" borderId="9" xfId="0" applyNumberFormat="1" applyFont="1" applyFill="1" applyBorder="1" applyAlignment="1">
      <x:alignment wrapText="1"/>
    </x:xf>
    <x:xf numFmtId="0" fontId="5" fillId="7" borderId="4" xfId="0" applyNumberFormat="1" applyFont="1" applyFill="1" applyBorder="1" applyAlignment="1">
      <x:alignment vertical="center" wrapText="1"/>
    </x:xf>
    <x:xf numFmtId="0" fontId="5" fillId="7" borderId="5" xfId="0" applyNumberFormat="1" applyFont="1" applyFill="1" applyBorder="1" applyAlignment="1">
      <x:alignment vertical="center" wrapText="1"/>
    </x:xf>
    <x:xf numFmtId="0" fontId="5" fillId="7" borderId="6" xfId="0" applyNumberFormat="1" applyFont="1" applyFill="1" applyBorder="1" applyAlignment="1">
      <x:alignment vertical="center" wrapText="1"/>
    </x:xf>
    <x:xf numFmtId="0" fontId="5" fillId="7" borderId="7" xfId="0" applyNumberFormat="1" applyFont="1" applyFill="1" applyBorder="1" applyAlignment="1">
      <x:alignment vertical="center" wrapText="1"/>
    </x:xf>
    <x:xf numFmtId="0" fontId="5" fillId="7" borderId="8" xfId="0" applyNumberFormat="1" applyFont="1" applyFill="1" applyBorder="1" applyAlignment="1">
      <x:alignment vertical="center" wrapText="1"/>
    </x:xf>
    <x:xf numFmtId="0" fontId="5" fillId="7" borderId="9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wrapText="1"/>
    </x:xf>
    <x:xf numFmtId="0" fontId="0" fillId="6" borderId="3" xfId="0" applyNumberFormat="1" applyFont="1" applyFill="1" applyBorder="1" applyAlignment="1">
      <x:alignment wrapText="1"/>
    </x:xf>
    <x:xf numFmtId="0" fontId="0" fillId="9" borderId="3" xfId="0" applyNumberFormat="1" applyFont="1" applyFill="1" applyBorder="1"/>
    <x:xf numFmtId="0" fontId="6" fillId="9" borderId="3" xfId="0" applyNumberFormat="1" applyFont="1" applyFill="1" applyBorder="1"/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horizontal="center" wrapText="1"/>
    </x:xf>
    <x:xf numFmtId="0" fontId="6" fillId="9" borderId="3" xfId="0" applyNumberFormat="1" applyFont="1" applyFill="1" applyBorder="1" applyAlignment="1">
      <x:alignment horizontal="center" vertical="center" wrapText="1"/>
    </x:xf>
    <x:xf numFmtId="0" fontId="0" fillId="10" borderId="3" xfId="0" applyNumberFormat="1" applyFont="1" applyFill="1" applyBorder="1"/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4" xfId="0" applyNumberFormat="1" applyFont="1" applyFill="1" applyBorder="1"/>
    <x:xf numFmtId="0" fontId="5" fillId="11" borderId="5" xfId="0" applyNumberFormat="1" applyFont="1" applyFill="1" applyBorder="1"/>
    <x:xf numFmtId="0" fontId="5" fillId="11" borderId="6" xfId="0" applyNumberFormat="1" applyFont="1" applyFill="1" applyBorder="1"/>
    <x:xf numFmtId="0" fontId="5" fillId="11" borderId="7" xfId="0" applyNumberFormat="1" applyFont="1" applyFill="1" applyBorder="1"/>
    <x:xf numFmtId="0" fontId="5" fillId="11" borderId="8" xfId="0" applyNumberFormat="1" applyFont="1" applyFill="1" applyBorder="1"/>
    <x:xf numFmtId="0" fontId="5" fillId="11" borderId="9" xfId="0" applyNumberFormat="1" applyFont="1" applyFill="1" applyBorder="1"/>
    <x:xf numFmtId="0" fontId="5" fillId="11" borderId="4" xfId="0" applyNumberFormat="1" applyFont="1" applyFill="1" applyBorder="1" applyAlignment="1">
      <x:alignment wrapText="1"/>
    </x:xf>
    <x:xf numFmtId="0" fontId="5" fillId="11" borderId="5" xfId="0" applyNumberFormat="1" applyFont="1" applyFill="1" applyBorder="1" applyAlignment="1">
      <x:alignment wrapText="1"/>
    </x:xf>
    <x:xf numFmtId="0" fontId="5" fillId="11" borderId="6" xfId="0" applyNumberFormat="1" applyFont="1" applyFill="1" applyBorder="1" applyAlignment="1">
      <x:alignment wrapText="1"/>
    </x:xf>
    <x:xf numFmtId="0" fontId="5" fillId="11" borderId="7" xfId="0" applyNumberFormat="1" applyFont="1" applyFill="1" applyBorder="1" applyAlignment="1">
      <x:alignment wrapText="1"/>
    </x:xf>
    <x:xf numFmtId="0" fontId="5" fillId="11" borderId="8" xfId="0" applyNumberFormat="1" applyFont="1" applyFill="1" applyBorder="1" applyAlignment="1">
      <x:alignment wrapText="1"/>
    </x:xf>
    <x:xf numFmtId="0" fontId="5" fillId="11" borderId="9" xfId="0" applyNumberFormat="1" applyFont="1" applyFill="1" applyBorder="1" applyAlignment="1">
      <x:alignment wrapText="1"/>
    </x:xf>
    <x:xf numFmtId="0" fontId="5" fillId="11" borderId="4" xfId="0" applyNumberFormat="1" applyFont="1" applyFill="1" applyBorder="1" applyAlignment="1">
      <x:alignment vertical="center" wrapText="1"/>
    </x:xf>
    <x:xf numFmtId="0" fontId="5" fillId="11" borderId="5" xfId="0" applyNumberFormat="1" applyFont="1" applyFill="1" applyBorder="1" applyAlignment="1">
      <x:alignment vertical="center" wrapText="1"/>
    </x:xf>
    <x:xf numFmtId="0" fontId="5" fillId="11" borderId="6" xfId="0" applyNumberFormat="1" applyFont="1" applyFill="1" applyBorder="1" applyAlignment="1">
      <x:alignment vertical="center" wrapText="1"/>
    </x:xf>
    <x:xf numFmtId="0" fontId="5" fillId="11" borderId="7" xfId="0" applyNumberFormat="1" applyFont="1" applyFill="1" applyBorder="1" applyAlignment="1">
      <x:alignment vertical="center" wrapText="1"/>
    </x:xf>
    <x:xf numFmtId="0" fontId="5" fillId="11" borderId="8" xfId="0" applyNumberFormat="1" applyFont="1" applyFill="1" applyBorder="1" applyAlignment="1">
      <x:alignment vertical="center" wrapText="1"/>
    </x:xf>
    <x:xf numFmtId="0" fontId="5" fillId="11" borderId="9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wrapText="1"/>
    </x:xf>
    <x:xf numFmtId="0" fontId="7" fillId="12" borderId="0" xfId="0" applyNumberFormat="1" applyFont="1" applyFill="1" applyBorder="1" applyAlignment="1">
      <x:alignment vertical="center" wrapText="1"/>
    </x:xf>
    <x:xf numFmtId="0" fontId="0" fillId="10" borderId="3" xfId="0" applyNumberFormat="1" applyFont="1" applyFill="1" applyBorder="1" applyAlignment="1">
      <x:alignment wrapText="1"/>
    </x:xf>
    <x:xf numFmtId="176" fontId="0" fillId="10" borderId="3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8" fillId="0" borderId="10" xfId="0" applyNumberFormat="1" applyFont="1" applyFill="1" applyBorder="1"/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0" fontId="8" fillId="13" borderId="11" xfId="0" applyNumberFormat="1" applyFont="1" applyFill="1" applyBorder="1"/>
    <x:xf numFmtId="0" fontId="0" fillId="0" borderId="12" xfId="0" applyNumberFormat="1" applyFont="1" applyFill="1" applyBorder="1"/>
    <x:xf numFmtId="0" fontId="0" fillId="14" borderId="12" xfId="0" applyNumberFormat="1" applyFont="1" applyFill="1" applyBorder="1"/>
    <x:xf numFmtId="0" fontId="0" fillId="15" borderId="12" xfId="0" applyNumberFormat="1" applyFont="1" applyFill="1" applyBorder="1"/>
    <x:xf numFmtId="0" fontId="0" fillId="16" borderId="0" xfId="0" applyNumberFormat="1" applyFont="1" applyFill="1" applyBorder="1"/>
    <x:xf numFmtId="0" fontId="0" fillId="16" borderId="4" xfId="0" applyNumberFormat="1" applyFont="1" applyFill="1" applyBorder="1"/>
    <x:xf numFmtId="0" fontId="0" fillId="16" borderId="5" xfId="0" applyNumberFormat="1" applyFont="1" applyFill="1" applyBorder="1"/>
    <x:xf numFmtId="0" fontId="0" fillId="16" borderId="6" xfId="0" applyNumberFormat="1" applyFont="1" applyFill="1" applyBorder="1"/>
    <x:xf numFmtId="0" fontId="0" fillId="16" borderId="7" xfId="0" applyNumberFormat="1" applyFont="1" applyFill="1" applyBorder="1"/>
    <x:xf numFmtId="0" fontId="0" fillId="16" borderId="8" xfId="0" applyNumberFormat="1" applyFont="1" applyFill="1" applyBorder="1"/>
    <x:xf numFmtId="0" fontId="0" fillId="16" borderId="9" xfId="0" applyNumberFormat="1" applyFont="1" applyFill="1" applyBorder="1"/>
    <x:xf numFmtId="0" fontId="0" fillId="17" borderId="0" xfId="0" applyNumberFormat="1" applyFont="1" applyFill="1" applyBorder="1"/>
    <x:xf numFmtId="0" fontId="9" fillId="17" borderId="0" xfId="0" applyNumberFormat="1" applyFont="1" applyFill="1" applyBorder="1"/>
    <x:xf numFmtId="176" fontId="0" fillId="0" borderId="12" xfId="0" applyNumberFormat="1" applyFont="1" applyFill="1" applyBorder="1"/>
    <x:xf numFmtId="176" fontId="0" fillId="14" borderId="12" xfId="0" applyNumberFormat="1" applyFont="1" applyFill="1" applyBorder="1"/>
    <x:xf numFmtId="176" fontId="8" fillId="0" borderId="10" xfId="0" applyNumberFormat="1" applyFont="1" applyFill="1" applyBorder="1"/>
    <x:xf numFmtId="176" fontId="8" fillId="13" borderId="11" xfId="0" applyNumberFormat="1" applyFont="1" applyFill="1" applyBorder="1"/>
    <x:xf numFmtId="176" fontId="0" fillId="15" borderId="12" xfId="0" applyNumberFormat="1" applyFont="1" applyFill="1" applyBorder="1"/>
    <x:xf numFmtId="0" fontId="8" fillId="0" borderId="10" xfId="0" applyNumberFormat="1" applyFont="1" applyFill="1" applyBorder="1" applyAlignment="1">
      <x:alignment wrapText="1"/>
    </x:xf>
    <x:xf numFmtId="0" fontId="8" fillId="13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176" fontId="0" fillId="0" borderId="12" xfId="0" applyNumberFormat="1" applyFont="1" applyFill="1" applyBorder="1" applyAlignment="1">
      <x:alignment wrapText="1"/>
    </x:xf>
    <x:xf numFmtId="0" fontId="0" fillId="14" borderId="12" xfId="0" applyNumberFormat="1" applyFont="1" applyFill="1" applyBorder="1" applyAlignment="1">
      <x:alignment wrapText="1"/>
    </x:xf>
    <x:xf numFmtId="176" fontId="0" fillId="14" borderId="12" xfId="0" applyNumberFormat="1" applyFont="1" applyFill="1" applyBorder="1" applyAlignment="1">
      <x:alignment wrapText="1"/>
    </x:xf>
    <x:xf numFmtId="176" fontId="0" fillId="0" borderId="0" xfId="0" applyNumberFormat="1" applyFont="1" applyFill="1" applyBorder="1" applyAlignment="1">
      <x:alignment wrapText="1"/>
    </x:xf>
    <x:xf numFmtId="176" fontId="8" fillId="0" borderId="10" xfId="0" applyNumberFormat="1" applyFont="1" applyFill="1" applyBorder="1" applyAlignment="1">
      <x:alignment wrapText="1"/>
    </x:xf>
    <x:xf numFmtId="176" fontId="8" fillId="13" borderId="11" xfId="0" applyNumberFormat="1" applyFont="1" applyFill="1" applyBorder="1" applyAlignment="1">
      <x:alignment wrapText="1"/>
    </x:xf>
    <x:xf numFmtId="0" fontId="0" fillId="15" borderId="12" xfId="0" applyNumberFormat="1" applyFont="1" applyFill="1" applyBorder="1" applyAlignment="1">
      <x:alignment wrapText="1"/>
    </x:xf>
    <x:xf numFmtId="176" fontId="0" fillId="15" borderId="12" xfId="0" applyNumberFormat="1" applyFont="1" applyFill="1" applyBorder="1" applyAlignment="1">
      <x:alignment wrapText="1"/>
    </x:xf>
    <x:xf numFmtId="0" fontId="0" fillId="16" borderId="4" xfId="0" applyNumberFormat="1" applyFont="1" applyFill="1" applyBorder="1" applyAlignment="1">
      <x:alignment wrapText="1"/>
    </x:xf>
    <x:xf numFmtId="0" fontId="0" fillId="16" borderId="5" xfId="0" applyNumberFormat="1" applyFont="1" applyFill="1" applyBorder="1" applyAlignment="1">
      <x:alignment wrapText="1"/>
    </x:xf>
    <x:xf numFmtId="0" fontId="0" fillId="16" borderId="6" xfId="0" applyNumberFormat="1" applyFont="1" applyFill="1" applyBorder="1" applyAlignment="1">
      <x:alignment wrapText="1"/>
    </x:xf>
    <x:xf numFmtId="0" fontId="0" fillId="16" borderId="7" xfId="0" applyNumberFormat="1" applyFont="1" applyFill="1" applyBorder="1" applyAlignment="1">
      <x:alignment wrapText="1"/>
    </x:xf>
    <x:xf numFmtId="0" fontId="0" fillId="16" borderId="8" xfId="0" applyNumberFormat="1" applyFont="1" applyFill="1" applyBorder="1" applyAlignment="1">
      <x:alignment wrapText="1"/>
    </x:xf>
    <x:xf numFmtId="0" fontId="0" fillId="16" borderId="9" xfId="0" applyNumberFormat="1" applyFont="1" applyFill="1" applyBorder="1" applyAlignment="1">
      <x:alignment wrapText="1"/>
    </x:xf>
    <x:xf numFmtId="0" fontId="9" fillId="17" borderId="0" xfId="0" applyNumberFormat="1" applyFont="1" applyFill="1" applyBorder="1" applyAlignment="1">
      <x:alignment wrapText="1"/>
    </x:xf>
    <x:xf numFmtId="176" fontId="8" fillId="5" borderId="11" xfId="0" applyNumberFormat="1" applyFont="1" applyFill="1" applyBorder="1" applyAlignment="1">
      <x:alignment wrapText="1"/>
    </x:xf>
    <x:xf numFmtId="176" fontId="0" fillId="3" borderId="12" xfId="0" applyNumberFormat="1" applyFont="1" applyFill="1" applyBorder="1" applyAlignment="1">
      <x:alignment wrapText="1"/>
    </x:xf>
    <x:xf numFmtId="176" fontId="0" fillId="4" borderId="5" xfId="0" applyNumberFormat="1" applyFont="1" applyFill="1" applyBorder="1" applyAlignment="1">
      <x:alignment wrapText="1"/>
    </x:xf>
    <x:xf numFmtId="176" fontId="0" fillId="4" borderId="6" xfId="0" applyNumberFormat="1" applyFont="1" applyFill="1" applyBorder="1" applyAlignment="1">
      <x:alignment wrapText="1"/>
    </x:xf>
    <x:xf numFmtId="176" fontId="0" fillId="4" borderId="8" xfId="0" applyNumberFormat="1" applyFont="1" applyFill="1" applyBorder="1" applyAlignment="1">
      <x:alignment wrapText="1"/>
    </x:xf>
    <x:xf numFmtId="176" fontId="0" fillId="4" borderId="9" xfId="0" applyNumberFormat="1" applyFont="1" applyFill="1" applyBorder="1" applyAlignment="1">
      <x:alignment wrapText="1"/>
    </x:xf>
    <x:xf numFmtId="176" fontId="9" fillId="8" borderId="0" xfId="0" applyNumberFormat="1" applyFont="1" applyFill="1" applyBorder="1" applyAlignment="1">
      <x:alignment wrapText="1"/>
    </x:xf>
    <x:xf numFmtId="0" fontId="0" fillId="18" borderId="3" xfId="0" applyNumberFormat="1" applyFont="1" applyFill="1" applyBorder="1"/>
    <x:xf numFmtId="176" fontId="0" fillId="18" borderId="3" xfId="0" applyNumberFormat="1" applyFont="1" applyFill="1" applyBorder="1"/>
    <x:xf numFmtId="0" fontId="6" fillId="18" borderId="3" xfId="0" applyNumberFormat="1" applyFont="1" applyFill="1" applyBorder="1"/>
    <x:xf numFmtId="176" fontId="6" fillId="18" borderId="3" xfId="0" applyNumberFormat="1" applyFont="1" applyFill="1" applyBorder="1"/>
    <x:xf numFmtId="0" fontId="6" fillId="18" borderId="3" xfId="0" applyNumberFormat="1" applyFont="1" applyFill="1" applyBorder="1" applyAlignment="1">
      <x:alignment wrapText="1"/>
    </x:xf>
    <x:xf numFmtId="176" fontId="6" fillId="18" borderId="3" xfId="0" applyNumberFormat="1" applyFont="1" applyFill="1" applyBorder="1" applyAlignment="1">
      <x:alignment wrapText="1"/>
    </x:xf>
    <x:xf numFmtId="0" fontId="6" fillId="18" borderId="3" xfId="0" applyNumberFormat="1" applyFont="1" applyFill="1" applyBorder="1" applyAlignment="1">
      <x:alignment horizontal="center" wrapText="1"/>
    </x:xf>
    <x:xf numFmtId="176" fontId="6" fillId="18" borderId="3" xfId="0" applyNumberFormat="1" applyFont="1" applyFill="1" applyBorder="1" applyAlignment="1">
      <x:alignment horizontal="center" wrapText="1"/>
    </x:xf>
    <x:xf numFmtId="0" fontId="6" fillId="18" borderId="3" xfId="0" applyNumberFormat="1" applyFont="1" applyFill="1" applyBorder="1" applyAlignment="1">
      <x:alignment horizontal="center" vertical="center" wrapText="1"/>
    </x:xf>
    <x:xf numFmtId="176" fontId="6" fillId="18" borderId="3" xfId="0" applyNumberFormat="1" applyFont="1" applyFill="1" applyBorder="1" applyAlignment="1">
      <x:alignment horizontal="center" vertical="center" wrapText="1"/>
    </x:xf>
    <x:xf numFmtId="0" fontId="0" fillId="19" borderId="3" xfId="0" applyNumberFormat="1" applyFont="1" applyFill="1" applyBorder="1"/>
    <x:xf numFmtId="176" fontId="0" fillId="19" borderId="3" xfId="0" applyNumberFormat="1" applyFont="1" applyFill="1" applyBorder="1"/>
    <x:xf numFmtId="0" fontId="0" fillId="20" borderId="3" xfId="0" applyNumberFormat="1" applyFont="1" applyFill="1" applyBorder="1"/>
    <x:xf numFmtId="176" fontId="0" fillId="20" borderId="3" xfId="0" applyNumberFormat="1" applyFont="1" applyFill="1" applyBorder="1"/>
    <x:xf numFmtId="0" fontId="0" fillId="21" borderId="3" xfId="0" applyNumberFormat="1" applyFont="1" applyFill="1" applyBorder="1"/>
    <x:xf numFmtId="176" fontId="0" fillId="21" borderId="3" xfId="0" applyNumberFormat="1" applyFont="1" applyFill="1" applyBorder="1"/>
    <x:xf numFmtId="0" fontId="0" fillId="22" borderId="0" xfId="0" applyNumberFormat="1" applyFont="1" applyFill="1" applyBorder="1"/>
    <x:xf numFmtId="0" fontId="5" fillId="22" borderId="0" xfId="0" applyNumberFormat="1" applyFont="1" applyFill="1" applyBorder="1"/>
    <x:xf numFmtId="0" fontId="5" fillId="22" borderId="4" xfId="0" applyNumberFormat="1" applyFont="1" applyFill="1" applyBorder="1"/>
    <x:xf numFmtId="0" fontId="5" fillId="22" borderId="5" xfId="0" applyNumberFormat="1" applyFont="1" applyFill="1" applyBorder="1"/>
    <x:xf numFmtId="0" fontId="5" fillId="22" borderId="6" xfId="0" applyNumberFormat="1" applyFont="1" applyFill="1" applyBorder="1"/>
    <x:xf numFmtId="0" fontId="5" fillId="22" borderId="7" xfId="0" applyNumberFormat="1" applyFont="1" applyFill="1" applyBorder="1"/>
    <x:xf numFmtId="0" fontId="5" fillId="22" borderId="8" xfId="0" applyNumberFormat="1" applyFont="1" applyFill="1" applyBorder="1"/>
    <x:xf numFmtId="0" fontId="5" fillId="22" borderId="9" xfId="0" applyNumberFormat="1" applyFont="1" applyFill="1" applyBorder="1"/>
    <x:xf numFmtId="0" fontId="5" fillId="22" borderId="4" xfId="0" applyNumberFormat="1" applyFont="1" applyFill="1" applyBorder="1" applyAlignment="1">
      <x:alignment wrapText="1"/>
    </x:xf>
    <x:xf numFmtId="0" fontId="5" fillId="22" borderId="5" xfId="0" applyNumberFormat="1" applyFont="1" applyFill="1" applyBorder="1" applyAlignment="1">
      <x:alignment wrapText="1"/>
    </x:xf>
    <x:xf numFmtId="0" fontId="5" fillId="22" borderId="6" xfId="0" applyNumberFormat="1" applyFont="1" applyFill="1" applyBorder="1" applyAlignment="1">
      <x:alignment wrapText="1"/>
    </x:xf>
    <x:xf numFmtId="0" fontId="5" fillId="22" borderId="7" xfId="0" applyNumberFormat="1" applyFont="1" applyFill="1" applyBorder="1" applyAlignment="1">
      <x:alignment wrapText="1"/>
    </x:xf>
    <x:xf numFmtId="0" fontId="5" fillId="22" borderId="8" xfId="0" applyNumberFormat="1" applyFont="1" applyFill="1" applyBorder="1" applyAlignment="1">
      <x:alignment wrapText="1"/>
    </x:xf>
    <x:xf numFmtId="0" fontId="5" fillId="22" borderId="9" xfId="0" applyNumberFormat="1" applyFont="1" applyFill="1" applyBorder="1" applyAlignment="1">
      <x:alignment wrapText="1"/>
    </x:xf>
    <x:xf numFmtId="0" fontId="5" fillId="22" borderId="4" xfId="0" applyNumberFormat="1" applyFont="1" applyFill="1" applyBorder="1" applyAlignment="1">
      <x:alignment vertical="center" wrapText="1"/>
    </x:xf>
    <x:xf numFmtId="0" fontId="5" fillId="22" borderId="5" xfId="0" applyNumberFormat="1" applyFont="1" applyFill="1" applyBorder="1" applyAlignment="1">
      <x:alignment vertical="center" wrapText="1"/>
    </x:xf>
    <x:xf numFmtId="0" fontId="5" fillId="22" borderId="6" xfId="0" applyNumberFormat="1" applyFont="1" applyFill="1" applyBorder="1" applyAlignment="1">
      <x:alignment vertical="center" wrapText="1"/>
    </x:xf>
    <x:xf numFmtId="0" fontId="5" fillId="22" borderId="7" xfId="0" applyNumberFormat="1" applyFont="1" applyFill="1" applyBorder="1" applyAlignment="1">
      <x:alignment vertical="center" wrapText="1"/>
    </x:xf>
    <x:xf numFmtId="0" fontId="5" fillId="22" borderId="8" xfId="0" applyNumberFormat="1" applyFont="1" applyFill="1" applyBorder="1" applyAlignment="1">
      <x:alignment vertical="center" wrapText="1"/>
    </x:xf>
    <x:xf numFmtId="0" fontId="5" fillId="22" borderId="9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7" fillId="20" borderId="0" xfId="0" applyNumberFormat="1" applyFont="1" applyFill="1" applyBorder="1"/>
    <x:xf numFmtId="0" fontId="7" fillId="20" borderId="0" xfId="0" applyNumberFormat="1" applyFont="1" applyFill="1" applyBorder="1" applyAlignment="1">
      <x:alignment wrapText="1"/>
    </x:xf>
    <x:xf numFmtId="0" fontId="7" fillId="20" borderId="0" xfId="0" applyNumberFormat="1" applyFont="1" applyFill="1" applyBorder="1" applyAlignment="1">
      <x:alignment vertical="center" wrapText="1"/>
    </x:xf>
    <x:xf numFmtId="0" fontId="0" fillId="19" borderId="3" xfId="0" applyNumberFormat="1" applyFont="1" applyFill="1" applyBorder="1" applyAlignment="1">
      <x:alignment wrapText="1"/>
    </x:xf>
    <x:xf numFmtId="0" fontId="0" fillId="20" borderId="3" xfId="0" applyNumberFormat="1" applyFont="1" applyFill="1" applyBorder="1" applyAlignment="1">
      <x:alignment wrapText="1"/>
    </x:xf>
    <x:xf numFmtId="0" fontId="0" fillId="21" borderId="3" xfId="0" applyNumberFormat="1" applyFont="1" applyFill="1" applyBorder="1" applyAlignment="1">
      <x:alignment wrapText="1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ed2be18b3b47a1" /><Relationship Type="http://schemas.openxmlformats.org/officeDocument/2006/relationships/theme" Target="/xl/theme/theme1.xml" Id="Rd27f4de1538f455b" /><Relationship Type="http://schemas.openxmlformats.org/officeDocument/2006/relationships/sharedStrings" Target="/xl/sharedStrings.xml" Id="Rf8cbcf95b7aa4e25" /><Relationship Type="http://schemas.openxmlformats.org/officeDocument/2006/relationships/worksheet" Target="/xl/worksheets/sheet1.xml" Id="Rd3355f3ecd83402e" /><Relationship Type="http://schemas.openxmlformats.org/officeDocument/2006/relationships/worksheet" Target="/xl/worksheets/sheet2.xml" Id="R949e390a2f1c4ffd" /><Relationship Type="http://schemas.openxmlformats.org/officeDocument/2006/relationships/worksheet" Target="/xl/worksheets/sheet3.xml" Id="Rbc755109f62142f5" /><Relationship Type="http://schemas.openxmlformats.org/officeDocument/2006/relationships/worksheet" Target="/xl/worksheets/sheet4.xml" Id="Ra571f2baa9ed44e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7" max="7" width="14" hidden="0" customWidth="1"/>
    <x:col min="1" max="1" width="34" hidden="0" customWidth="1"/>
    <x:col min="2" max="2" width="17" hidden="0" customWidth="1"/>
    <x:col min="3" max="3" width="14" hidden="0" customWidth="1"/>
    <x:col min="4" max="4" width="38" hidden="0" customWidth="1"/>
    <x:col min="5" max="5" width="14" hidden="0" customWidth="1"/>
    <x:col min="6" max="6" width="14" hidden="0" customWidth="1"/>
  </x:cols>
  <x:sheetData>
    <x:row r="3" ht="28" customHeight="1">
      <x:c r="A3" s="96" t="str">
        <x:v>Water strong scaling: fixed 15,763,896 atoms; 6x6x6 replicate; matched MPI grids; LAMMPS KISS FFT; isolated 16/32/64 DCU reruns (1000 steps)</x:v>
      </x:c>
      <x:c r="B3" s="96"/>
      <x:c r="C3" s="96"/>
      <x:c r="D3" s="96"/>
      <x:c r="E3" s="96"/>
      <x:c r="F3" s="96"/>
      <x:c r="G3" s="96"/>
    </x:row>
    <x:row r="4">
      <x:c r="B4" t="str">
        <x:v>avg time per step/s, LAMMPS-Kokkos (KISS)</x:v>
      </x:c>
      <x:c r="E4" t="str">
        <x:v>avg time per step/s, RBMD</x:v>
      </x:c>
    </x:row>
    <x:row r="5">
      <x:c r="B5" t="str">
        <x:v>Pair</x:v>
      </x:c>
      <x:c r="C5" t="str">
        <x:v>Kspace</x:v>
      </x:c>
      <x:c r="D5" t="str">
        <x:v>Pair+Kspace</x:v>
      </x:c>
      <x:c r="E5" t="s">
        <x:v>0</x:v>
      </x:c>
      <x:c r="F5" t="s">
        <x:v>1</x:v>
      </x:c>
      <x:c r="G5" t="s">
        <x:v>2</x:v>
      </x:c>
    </x:row>
    <x:row r="6">
      <x:c r="A6" t="str">
        <x:v>1DCU</x:v>
      </x:c>
      <x:c r="B6" s="22" t="n">
        <x:v>0.67855</x:v>
      </x:c>
      <x:c r="C6" s="22" t="n">
        <x:v>0.90755</x:v>
      </x:c>
      <x:c r="D6" s="22" t="n">
        <x:f t="shared" ref="D6:D12" si="0">IF(COUNT(B6:C6)=2,SUM(B6:C6),"")</x:f>
        <x:v>1.5861</x:v>
      </x:c>
      <x:c r="E6" s="22"/>
      <x:c r="F6" s="22"/>
      <x:c r="G6" s="22" t="str">
        <x:f t="shared" ref="G6:G12" si="1">IF(COUNT(E6:F6)=2,SUM(E6:F6),"")</x:f>
      </x:c>
    </x:row>
    <x:row r="7">
      <x:c r="A7" t="str">
        <x:v>2DCU</x:v>
      </x:c>
      <x:c r="B7" s="22" t="n">
        <x:v>0.33442</x:v>
      </x:c>
      <x:c r="C7" s="22" t="n">
        <x:v>0.56508</x:v>
      </x:c>
      <x:c r="D7" s="22" t="n">
        <x:f t="shared" si="0">IF(COUNT(B7:C7)=2,SUM(B7:C7),"")</x:f>
        <x:v>0.8995</x:v>
      </x:c>
      <x:c r="E7" s="22"/>
      <x:c r="F7" s="22"/>
      <x:c r="G7" s="22" t="str">
        <x:f t="shared" si="1">IF(COUNT(E7:F7)=2,SUM(E7:F7),"")</x:f>
      </x:c>
    </x:row>
    <x:row r="8">
      <x:c r="A8" t="str">
        <x:v>4DCU</x:v>
      </x:c>
      <x:c r="B8" s="22" t="n">
        <x:v>0.1615</x:v>
      </x:c>
      <x:c r="C8" s="22" t="n">
        <x:v>0.3683</x:v>
      </x:c>
      <x:c r="D8" s="22" t="n">
        <x:f t="shared" si="0">IF(COUNT(B8:C8)=2,SUM(B8:C8),"")</x:f>
        <x:v>0.5298</x:v>
      </x:c>
      <x:c r="E8" s="22">
        <x:v>0.191882</x:v>
      </x:c>
      <x:c r="F8" s="22">
        <x:v>2.5625999999999999E-2</x:v>
      </x:c>
      <x:c r="G8" s="22" t="n">
        <x:f t="shared" si="1">IF(COUNT(E8:F8)=2,SUM(E8:F8),"")</x:f>
        <x:v>0.217508</x:v>
      </x:c>
    </x:row>
    <x:row r="9">
      <x:c r="A9" t="str">
        <x:v>8DCU</x:v>
      </x:c>
      <x:c r="B9" s="22" t="n">
        <x:v>0.0848</x:v>
      </x:c>
      <x:c r="C9" s="22" t="n">
        <x:v>0.1781</x:v>
      </x:c>
      <x:c r="D9" s="22" t="n">
        <x:f t="shared" si="0">IF(COUNT(B9:C9)=2,SUM(B9:C9),"")</x:f>
        <x:v>0.2629</x:v>
      </x:c>
      <x:c r="E9" s="22">
        <x:v>9.6754999999999994E-2</x:v>
      </x:c>
      <x:c r="F9" s="22">
        <x:v>1.3937E-2</x:v>
      </x:c>
      <x:c r="G9" s="22" t="n">
        <x:f t="shared" si="1">IF(COUNT(E9:F9)=2,SUM(E9:F9),"")</x:f>
        <x:v>0.110692</x:v>
      </x:c>
    </x:row>
    <x:row r="10">
      <x:c r="A10" t="str">
        <x:v>16DCU</x:v>
      </x:c>
      <x:c r="B10" s="22" t="n">
        <x:f>E64</x:f>
        <x:v>0.043595</x:v>
      </x:c>
      <x:c r="C10" s="22" t="n">
        <x:f>F64</x:f>
        <x:v>0.098578</x:v>
      </x:c>
      <x:c r="D10" s="22" t="n">
        <x:f t="shared" si="0">IF(COUNT(B10:C10)=2,SUM(B10:C10),"")</x:f>
        <x:v>0.142173</x:v>
      </x:c>
      <x:c r="E10" s="22" t="n">
        <x:f>E65</x:f>
        <x:v>0.054193</x:v>
      </x:c>
      <x:c r="F10" s="22" t="n">
        <x:f>F65</x:f>
        <x:v>0.008117</x:v>
      </x:c>
      <x:c r="G10" s="22" t="n">
        <x:f t="shared" si="1">E10+F10</x:f>
        <x:v>0.06231</x:v>
      </x:c>
    </x:row>
    <x:row r="11">
      <x:c r="A11" t="str">
        <x:v>32DCU</x:v>
      </x:c>
      <x:c r="B11" s="22" t="n">
        <x:f>E66</x:f>
        <x:v>0.023847</x:v>
      </x:c>
      <x:c r="C11" s="22" t="n">
        <x:f>F66</x:f>
        <x:v>0.064345</x:v>
      </x:c>
      <x:c r="D11" s="22" t="n">
        <x:f t="shared" si="0">IF(COUNT(B11:C11)=2,SUM(B11:C11),"")</x:f>
        <x:v>0.08819199999999999</x:v>
      </x:c>
      <x:c r="E11" s="22" t="n">
        <x:f>E67</x:f>
        <x:v>0.024182</x:v>
      </x:c>
      <x:c r="F11" s="22" t="n">
        <x:f>F67</x:f>
        <x:v>0.005177</x:v>
      </x:c>
      <x:c r="G11" s="22" t="n">
        <x:f t="shared" si="1">IF(COUNT(E11:F11)=2,SUM(E11:F11),"")</x:f>
        <x:v>0.029359</x:v>
      </x:c>
    </x:row>
    <x:row r="12" ht="15">
      <x:c r="A12" t="str">
        <x:v>64DCU</x:v>
      </x:c>
      <x:c r="B12" s="22" t="n">
        <x:f>E68</x:f>
        <x:v>0.012366</x:v>
      </x:c>
      <x:c r="C12" s="22" t="n">
        <x:f>F68</x:f>
        <x:v>0.049246</x:v>
      </x:c>
      <x:c r="D12" s="22" t="n">
        <x:f t="shared" si="0">IF(COUNT(B12:C12)=2,SUM(B12:C12),"")</x:f>
        <x:v>0.061612</x:v>
      </x:c>
      <x:c r="E12" s="23" t="n">
        <x:f>E69</x:f>
        <x:v>0.017136</x:v>
      </x:c>
      <x:c r="F12" s="23" t="n">
        <x:f>F69</x:f>
        <x:v>0.003934</x:v>
      </x:c>
      <x:c r="G12" s="22" t="n">
        <x:f t="shared" si="1">IF(COUNT(E12:F12)=2,SUM(E12:F12),"")</x:f>
        <x:v>0.02107</x:v>
      </x:c>
    </x:row>
    <x:row r="13">
      <x:c r="E13" s="22"/>
      <x:c r="F13" s="22"/>
      <x:c r="G13" s="22"/>
    </x:row>
    <x:row r="14" ht="26" customHeight="1">
      <x:c r="A14" t="str">
        <x:v>RBMD Water strong-scaling audit: prior values vs validated reruns</x:v>
      </x:c>
      <x:c r="B14"/>
      <x:c r="C14"/>
      <x:c r="D14"/>
      <x:c r="E14" s="22"/>
      <x:c r="F14" s="22"/>
      <x:c r="G14" s="22"/>
    </x:row>
    <x:row r="15" ht="30" customHeight="1">
      <x:c r="A15" s="34" t="str">
        <x:v>case / provenance</x:v>
      </x:c>
      <x:c r="B15" s="34" t="str">
        <x:v>nodes / DCU</x:v>
      </x:c>
      <x:c r="C15" s="34" t="str">
        <x:v>MPI grid</x:v>
      </x:c>
      <x:c r="D15" s="34" t="str">
        <x:v>local box (angstrom)</x:v>
      </x:c>
      <x:c r="E15" s="35" t="str">
        <x:v>short</x:v>
      </x:c>
      <x:c r="F15" s="35" t="str">
        <x:v>long</x:v>
      </x:c>
      <x:c r="G15" s="35" t="str">
        <x:v>short+long</x:v>
      </x:c>
    </x:row>
    <x:row r="16" ht="24" customHeight="1">
      <x:c r="A16" s="62" t="str">
        <x:v>legacy workbook</x:v>
      </x:c>
      <x:c r="B16" s="62" t="str">
        <x:v>4N / 16DCU</x:v>
      </x:c>
      <x:c r="C16" s="62" t="str">
        <x:v>4x2x2</x:v>
      </x:c>
      <x:c r="D16" s="62" t="str">
        <x:v>135x270x270</x:v>
      </x:c>
      <x:c r="E16" s="25" t="n">
        <x:v>0.057112</x:v>
      </x:c>
      <x:c r="F16" s="25" t="n">
        <x:v>0.008206</x:v>
      </x:c>
      <x:c r="G16" s="25" t="n">
        <x:f>IF(COUNT(E16:F16)=2,SUM(E16:F16),"")</x:f>
        <x:v>0.065318</x:v>
      </x:c>
    </x:row>
    <x:row r="17" ht="24" customHeight="1">
      <x:c r="A17" s="62" t="str">
        <x:v>rerun A, job 754506</x:v>
      </x:c>
      <x:c r="B17" s="62" t="str">
        <x:v>4N / 16DCU</x:v>
      </x:c>
      <x:c r="C17" s="62" t="str">
        <x:v>4x2x2</x:v>
      </x:c>
      <x:c r="D17" s="62" t="str">
        <x:v>135x270x270</x:v>
      </x:c>
      <x:c r="E17" s="25" t="n">
        <x:v>0.055249</x:v>
      </x:c>
      <x:c r="F17" s="25" t="n">
        <x:v>0.008172</x:v>
      </x:c>
      <x:c r="G17" s="25" t="n">
        <x:f>IF(COUNT(E17:F17)=2,SUM(E17:F17),"")</x:f>
        <x:v>0.063421</x:v>
      </x:c>
    </x:row>
    <x:row r="18" ht="24" customHeight="1">
      <x:c r="A18" s="62" t="str">
        <x:v>rerun B, job 754533</x:v>
      </x:c>
      <x:c r="B18" s="62" t="str">
        <x:v>4N / 16DCU</x:v>
      </x:c>
      <x:c r="C18" s="62" t="str">
        <x:v>4x2x2</x:v>
      </x:c>
      <x:c r="D18" s="62" t="str">
        <x:v>135x270x270</x:v>
      </x:c>
      <x:c r="E18" s="25" t="n">
        <x:v>0.054469</x:v>
      </x:c>
      <x:c r="F18" s="25" t="n">
        <x:v>0.008163</x:v>
      </x:c>
      <x:c r="G18" s="25" t="n">
        <x:f>IF(COUNT(E18:F18)=2,SUM(E18:F18),"")</x:f>
        <x:v>0.062632</x:v>
      </x:c>
    </x:row>
    <x:row r="19" ht="24" customHeight="1">
      <x:c r="A19" s="63" t="str">
        <x:v>rerun mean (primary)</x:v>
      </x:c>
      <x:c r="B19" s="63" t="str">
        <x:v>4N / 16DCU</x:v>
      </x:c>
      <x:c r="C19" s="63" t="str">
        <x:v>4x2x2</x:v>
      </x:c>
      <x:c r="D19" s="63" t="str">
        <x:v>135x270x270</x:v>
      </x:c>
      <x:c r="E19" s="37" t="n">
        <x:f>AVERAGE(E17:E18)</x:f>
        <x:v>0.054859</x:v>
      </x:c>
      <x:c r="F19" s="37" t="n">
        <x:f>AVERAGE(F17:F18)</x:f>
        <x:v>0.008167500000000001</x:v>
      </x:c>
      <x:c r="G19" s="37" t="n">
        <x:f>IF(COUNT(E19:F19)=2,SUM(E19:F19),"")</x:f>
        <x:v>0.0630265</x:v>
      </x:c>
    </x:row>
    <x:row r="20" ht="24" customHeight="1">
      <x:c r="A20" s="62" t="str">
        <x:v>legacy workbook</x:v>
      </x:c>
      <x:c r="B20" s="62" t="str">
        <x:v>8N / 32DCU</x:v>
      </x:c>
      <x:c r="C20" s="62" t="str">
        <x:v>4x4x2</x:v>
      </x:c>
      <x:c r="D20" s="62" t="str">
        <x:v>135x135x270</x:v>
      </x:c>
      <x:c r="E20" s="25" t="n">
        <x:v>0.024182</x:v>
      </x:c>
      <x:c r="F20" s="25" t="n">
        <x:v>0.005169</x:v>
      </x:c>
      <x:c r="G20" s="25" t="n">
        <x:f>IF(COUNT(E20:F20)=2,SUM(E20:F20),"")</x:f>
        <x:v>0.029351</x:v>
      </x:c>
    </x:row>
    <x:row r="21" ht="24" customHeight="1">
      <x:c r="A21" s="63" t="str">
        <x:v>rerun, job 754567 (primary)</x:v>
      </x:c>
      <x:c r="B21" s="63" t="str">
        <x:v>8N / 32DCU</x:v>
      </x:c>
      <x:c r="C21" s="63" t="str">
        <x:v>4x4x2</x:v>
      </x:c>
      <x:c r="D21" s="63" t="str">
        <x:v>135x135x270</x:v>
      </x:c>
      <x:c r="E21" s="37" t="n">
        <x:v>0.024177</x:v>
      </x:c>
      <x:c r="F21" s="37" t="n">
        <x:v>0.005189</x:v>
      </x:c>
      <x:c r="G21" s="37" t="n">
        <x:f>IF(COUNT(E21:F21)=2,SUM(E21:F21),"")</x:f>
        <x:v>0.029366</x:v>
      </x:c>
    </x:row>
    <x:row r="22" ht="24" customHeight="1">
      <x:c r="A22" s="62" t="str">
        <x:v>legacy workbook</x:v>
      </x:c>
      <x:c r="B22" s="62" t="str">
        <x:v>16N / 64DCU</x:v>
      </x:c>
      <x:c r="C22" s="62" t="str">
        <x:v>4x4x4</x:v>
      </x:c>
      <x:c r="D22" s="62" t="str">
        <x:v>135x135x135</x:v>
      </x:c>
      <x:c r="E22" s="25" t="n">
        <x:v>0.017123</x:v>
      </x:c>
      <x:c r="F22" s="25" t="n">
        <x:v>0.00408</x:v>
      </x:c>
      <x:c r="G22" s="25" t="n">
        <x:f>IF(COUNT(E22:F22)=2,SUM(E22:F22),"")</x:f>
        <x:v>0.021203</x:v>
      </x:c>
    </x:row>
    <x:row r="23" ht="24" customHeight="1">
      <x:c r="A23" s="63" t="str">
        <x:v>rerun, job 754579 (primary)</x:v>
      </x:c>
      <x:c r="B23" s="63" t="str">
        <x:v>16N / 64DCU</x:v>
      </x:c>
      <x:c r="C23" s="63" t="str">
        <x:v>4x4x4</x:v>
      </x:c>
      <x:c r="D23" s="63" t="str">
        <x:v>135x135x135</x:v>
      </x:c>
      <x:c r="E23" s="37" t="n">
        <x:v>0.017131</x:v>
      </x:c>
      <x:c r="F23" s="37" t="n">
        <x:v>0.00395</x:v>
      </x:c>
      <x:c r="G23" s="37" t="n">
        <x:f>IF(COUNT(E23:F23)=2,SUM(E23:F23),"")</x:f>
        <x:v>0.021081000000000003</x:v>
      </x:c>
    </x:row>
    <x:row r="25" ht="36" customHeight="1">
      <x:c r="A25" s="52" t="str">
        <x:v>Conclusion: the two 4-node reruns give 0.063421 and 0.062632 s/step (1.25% spread); their mean is 3.64% below the legacy value. The 8-node and 16-node reruns reproduce the legacy values within 0.05% and 0.58%. The 4-node efficiency dip and 16-node saturation are reproducible, not spreadsheet transcription errors. Both 4-node repeats used the same host set, so a host-placement contribution is not fully excluded.</x:v>
      </x:c>
      <x:c r="B25" s="53"/>
      <x:c r="C25" s="53"/>
      <x:c r="D25" s="53"/>
      <x:c r="E25" s="53"/>
      <x:c r="F25" s="53"/>
      <x:c r="G25" s="54"/>
    </x:row>
    <x:row r="26" ht="36" customHeight="1">
      <x:c r="A26" s="55"/>
      <x:c r="B26" s="56"/>
      <x:c r="C26" s="56"/>
      <x:c r="D26" s="56"/>
      <x:c r="E26" s="56"/>
      <x:c r="F26" s="56"/>
      <x:c r="G26" s="57"/>
    </x:row>
    <x:row r="27" ht="34" customHeight="1">
      <x:c r="A27" s="61" t="str">
        <x:v>Source: /public/home/acymkxdx47/rbmd/build/new_gyf_test/water_strong_recheck_4_8_16_20260819 (validated archive SHA-256 512369342d9c26f3ea6658ad170b6193e89a15c89aa2ee55ea71b5a53d041e91)</x:v>
      </x:c>
      <x:c r="B27" s="61"/>
      <x:c r="C27" s="61"/>
      <x:c r="D27" s="61"/>
      <x:c r="E27" s="61"/>
      <x:c r="F27" s="61"/>
      <x:c r="G27" s="61"/>
    </x:row>
    <x:row r="29" ht="26" customHeight="1">
      <x:c r="A29" t="str">
        <x:v>Matched Water 4-node topology audit: RBMD vs LAMMPS-Kokkos</x:v>
      </x:c>
      <x:c r="B29"/>
      <x:c r="C29"/>
      <x:c r="D29"/>
      <x:c r="E29"/>
      <x:c r="F29"/>
      <x:c r="G29"/>
    </x:row>
    <x:row r="30" ht="30" customHeight="1">
      <x:c r="A30" s="68" t="str">
        <x:v>case / provenance</x:v>
      </x:c>
      <x:c r="B30" s="68" t="str">
        <x:v>nodes / DCU</x:v>
      </x:c>
      <x:c r="C30" s="68" t="str">
        <x:v>MPI grid</x:v>
      </x:c>
      <x:c r="D30" s="68" t="str">
        <x:v>local box (angstrom)</x:v>
      </x:c>
      <x:c r="E30" s="68" t="str">
        <x:v>short / Pair</x:v>
      </x:c>
      <x:c r="F30" s="68" t="str">
        <x:v>long / Kspace</x:v>
      </x:c>
      <x:c r="G30" s="68" t="str">
        <x:v>sum</x:v>
      </x:c>
    </x:row>
    <x:row r="31" ht="24" customHeight="1">
      <x:c r="A31" s="62" t="str">
        <x:v>RBMD, job 755103</x:v>
      </x:c>
      <x:c r="B31" s="62" t="str">
        <x:v>4N / 16DCU</x:v>
      </x:c>
      <x:c r="C31" s="62" t="str">
        <x:v>4x2x2</x:v>
      </x:c>
      <x:c r="D31" s="62" t="str">
        <x:v>135x270x270</x:v>
      </x:c>
      <x:c r="E31" s="25" t="n">
        <x:v>0.053676</x:v>
      </x:c>
      <x:c r="F31" s="25" t="n">
        <x:v>0.008067</x:v>
      </x:c>
      <x:c r="G31" s="25" t="n">
        <x:f>E31+F31</x:f>
        <x:v>0.061743</x:v>
      </x:c>
    </x:row>
    <x:row r="32" ht="24" customHeight="1">
      <x:c r="A32" s="62" t="str">
        <x:v>LAMMPS, job 755131</x:v>
      </x:c>
      <x:c r="B32" s="62" t="str">
        <x:v>4N / 16DCU</x:v>
      </x:c>
      <x:c r="C32" s="62" t="str">
        <x:v>4x2x2</x:v>
      </x:c>
      <x:c r="D32" s="62" t="str">
        <x:v>135x270x270</x:v>
      </x:c>
      <x:c r="E32" s="25" t="n">
        <x:v>0.043595</x:v>
      </x:c>
      <x:c r="F32" s="25" t="n">
        <x:v>0.098543</x:v>
      </x:c>
      <x:c r="G32" s="25" t="n">
        <x:f>E32+F32</x:f>
        <x:v>0.14213800000000001</x:v>
      </x:c>
    </x:row>
    <x:row r="33" ht="24" customHeight="1">
      <x:c r="A33" s="94" t="str">
        <x:v>RBMD, job 755141 (primary)</x:v>
      </x:c>
      <x:c r="B33" s="94" t="str">
        <x:v>4N / 16DCU</x:v>
      </x:c>
      <x:c r="C33" s="94" t="str">
        <x:v>2x4x2</x:v>
      </x:c>
      <x:c r="D33" s="94" t="str">
        <x:v>270x135x270</x:v>
      </x:c>
      <x:c r="E33" s="95" t="n">
        <x:v>0.05119</x:v>
      </x:c>
      <x:c r="F33" s="95" t="n">
        <x:v>0.008053</x:v>
      </x:c>
      <x:c r="G33" s="95" t="n">
        <x:f>E33+F33</x:f>
        <x:v>0.059243</x:v>
      </x:c>
    </x:row>
    <x:row r="34" ht="24" customHeight="1">
      <x:c r="A34" s="94" t="str">
        <x:v>LAMMPS, job 755150 (primary)</x:v>
      </x:c>
      <x:c r="B34" s="94" t="str">
        <x:v>4N / 16DCU</x:v>
      </x:c>
      <x:c r="C34" s="94" t="str">
        <x:v>2x4x2</x:v>
      </x:c>
      <x:c r="D34" s="94" t="str">
        <x:v>270x135x270</x:v>
      </x:c>
      <x:c r="E34" s="95" t="n">
        <x:v>0.044639</x:v>
      </x:c>
      <x:c r="F34" s="95" t="n">
        <x:v>0.09456</x:v>
      </x:c>
      <x:c r="G34" s="95" t="n">
        <x:f>E34+F34</x:f>
        <x:v>0.13919900000000002</x:v>
      </x:c>
    </x:row>
    <x:row r="35" ht="24" customHeight="1">
      <x:c r="A35" s="62" t="str">
        <x:v>RBMD, job 755156</x:v>
      </x:c>
      <x:c r="B35" s="62" t="str">
        <x:v>4N / 16DCU</x:v>
      </x:c>
      <x:c r="C35" s="62" t="str">
        <x:v>2x2x4</x:v>
      </x:c>
      <x:c r="D35" s="62" t="str">
        <x:v>270x270x135</x:v>
      </x:c>
      <x:c r="E35" s="25" t="n">
        <x:v>0.05247</x:v>
      </x:c>
      <x:c r="F35" s="25" t="n">
        <x:v>0.008076</x:v>
      </x:c>
      <x:c r="G35" s="25" t="n">
        <x:f>E35+F35</x:f>
        <x:v>0.060546</x:v>
      </x:c>
    </x:row>
    <x:row r="36" ht="24" customHeight="1">
      <x:c r="A36" s="62" t="str">
        <x:v>LAMMPS, job 755170</x:v>
      </x:c>
      <x:c r="B36" s="62" t="str">
        <x:v>4N / 16DCU</x:v>
      </x:c>
      <x:c r="C36" s="62" t="str">
        <x:v>2x2x4</x:v>
      </x:c>
      <x:c r="D36" s="62" t="str">
        <x:v>270x270x135</x:v>
      </x:c>
      <x:c r="E36" s="25" t="n">
        <x:v>0.04531</x:v>
      </x:c>
      <x:c r="F36" s="25" t="n">
        <x:v>0.095864</x:v>
      </x:c>
      <x:c r="G36" s="25" t="n">
        <x:f>E36+F36</x:f>
        <x:v>0.14117400000000002</x:v>
      </x:c>
    </x:row>
    <x:row r="38" ht="36" customHeight="1">
      <x:c r="A38" s="84" t="str">
        <x:v>Historical topology audit: 2x4x2 was fastest for both methods (RBMD 0.059243 s/step; LAMMPS-Kokkos 0.139199 s/step), while 4x2x2 was slower by 4.05% and 2.07%. The current isolated main series deliberately uses the common 4x2x2 grid at 16 DCU so RBMD and LAMMPS are compared on exactly the same topology; all orientations remain below for audit.</x:v>
      </x:c>
      <x:c r="B38" s="85"/>
      <x:c r="C38" s="85"/>
      <x:c r="D38" s="85"/>
      <x:c r="E38" s="85"/>
      <x:c r="F38" s="85"/>
      <x:c r="G38" s="86"/>
    </x:row>
    <x:row r="39" ht="36" customHeight="1">
      <x:c r="A39" s="87"/>
      <x:c r="B39" s="88"/>
      <x:c r="C39" s="88"/>
      <x:c r="D39" s="88"/>
      <x:c r="E39" s="88"/>
      <x:c r="F39" s="88"/>
      <x:c r="G39" s="89"/>
    </x:row>
    <x:row r="40" ht="34" customHeight="1">
      <x:c r="A40" s="93" t="str">
        <x:v>Source: /public/home/acymkxdx47/rbmd/build/new_gyf_test/water_strong_grid_topology_4nodes_20260819/archive/water_strong_grid_topology_20260819T204745.tgz (SHA-256 7f197d0dab050b28de4509b144b607fdabfb5078ceb2002b128e4ba2d99bfc66)</x:v>
      </x:c>
      <x:c r="B40" s="93"/>
      <x:c r="C40" s="93"/>
      <x:c r="D40" s="93"/>
      <x:c r="E40" s="93"/>
      <x:c r="F40" s="93"/>
      <x:c r="G40" s="93"/>
    </x:row>
    <x:row r="42" ht="26" customHeight="1">
      <x:c r="A42" s="119" t="str">
        <x:v>LAMMPS-Kokkos Water strong scaling: matched 6x6x6 boxes, processor grids, KISS FFT, and isolated reruns</x:v>
      </x:c>
      <x:c r="B42" s="119"/>
      <x:c r="C42" s="119"/>
      <x:c r="D42" s="119"/>
      <x:c r="E42" s="119"/>
      <x:c r="F42" s="119"/>
      <x:c r="G42" s="119"/>
    </x:row>
    <x:row r="43" ht="28" customHeight="1">
      <x:c r="A43" s="120" t="str">
        <x:v>configuration</x:v>
      </x:c>
      <x:c r="B43" s="120" t="str">
        <x:v>global replicate</x:v>
      </x:c>
      <x:c r="C43" s="120" t="str">
        <x:v>processor grid</x:v>
      </x:c>
      <x:c r="D43" s="120" t="str">
        <x:v>source</x:v>
      </x:c>
      <x:c r="E43" s="137" t="str">
        <x:v>Pair</x:v>
      </x:c>
      <x:c r="F43" s="137" t="str">
        <x:v>Kspace</x:v>
      </x:c>
      <x:c r="G43" s="137" t="str">
        <x:v>Pair+Kspace</x:v>
      </x:c>
    </x:row>
    <x:row r="44" ht="28" customHeight="1">
      <x:c r="A44" s="121" t="str">
        <x:v>1 DCU</x:v>
      </x:c>
      <x:c r="B44" s="121" t="str">
        <x:v>6x6x6</x:v>
      </x:c>
      <x:c r="C44" s="121" t="str">
        <x:v>1x1x1</x:v>
      </x:c>
      <x:c r="D44" s="121" t="str">
        <x:v>job 745157 (reused)</x:v>
      </x:c>
      <x:c r="E44" s="122" t="n">
        <x:v>0.67855</x:v>
      </x:c>
      <x:c r="F44" s="122" t="n">
        <x:v>0.90755</x:v>
      </x:c>
      <x:c r="G44" s="122" t="n">
        <x:f>IF(COUNT(E44:F44)=2,SUM(E44:F44),"")</x:f>
        <x:v>1.5861</x:v>
      </x:c>
    </x:row>
    <x:row r="45" ht="28" customHeight="1">
      <x:c r="A45" s="123" t="str">
        <x:v>2 DCU</x:v>
      </x:c>
      <x:c r="B45" s="123" t="str">
        <x:v>6x6x6</x:v>
      </x:c>
      <x:c r="C45" s="123" t="str">
        <x:v>2x1x1</x:v>
      </x:c>
      <x:c r="D45" s="123" t="str">
        <x:v>job 755352 (new)</x:v>
      </x:c>
      <x:c r="E45" s="138" t="n">
        <x:v>0.33442</x:v>
      </x:c>
      <x:c r="F45" s="138" t="n">
        <x:v>0.56508</x:v>
      </x:c>
      <x:c r="G45" s="138" t="n">
        <x:f>IF(COUNT(E45:F45)=2,SUM(E45:F45),"")</x:f>
        <x:v>0.8995</x:v>
      </x:c>
    </x:row>
    <x:row r="46" ht="28" customHeight="1">
      <x:c r="A46" s="123" t="str">
        <x:v>4 DCU</x:v>
      </x:c>
      <x:c r="B46" s="123" t="str">
        <x:v>6x6x6</x:v>
      </x:c>
      <x:c r="C46" s="123" t="str">
        <x:v>2x2x1</x:v>
      </x:c>
      <x:c r="D46" s="123" t="str">
        <x:v>job 755390 (new)</x:v>
      </x:c>
      <x:c r="E46" s="138" t="n">
        <x:v>0.1615</x:v>
      </x:c>
      <x:c r="F46" s="138" t="n">
        <x:v>0.3683</x:v>
      </x:c>
      <x:c r="G46" s="138" t="n">
        <x:f>IF(COUNT(E46:F46)=2,SUM(E46:F46),"")</x:f>
        <x:v>0.5298</x:v>
      </x:c>
    </x:row>
    <x:row r="47" ht="28" customHeight="1">
      <x:c r="A47" s="121" t="str">
        <x:v>8 DCU</x:v>
      </x:c>
      <x:c r="B47" s="121" t="str">
        <x:v>6x6x6</x:v>
      </x:c>
      <x:c r="C47" s="121" t="str">
        <x:v>2x2x2</x:v>
      </x:c>
      <x:c r="D47" s="121" t="str">
        <x:v>validated point (reused)</x:v>
      </x:c>
      <x:c r="E47" s="122" t="n">
        <x:v>0.0848</x:v>
      </x:c>
      <x:c r="F47" s="122" t="n">
        <x:v>0.1781</x:v>
      </x:c>
      <x:c r="G47" s="122" t="n">
        <x:f>IF(COUNT(E47:F47)=2,SUM(E47:F47),"")</x:f>
        <x:v>0.2629</x:v>
      </x:c>
    </x:row>
    <x:row r="48" ht="28" customHeight="1">
      <x:c r="A48" s="121" t="str">
        <x:v>16 DCU</x:v>
      </x:c>
      <x:c r="B48" s="121" t="str">
        <x:v>6x6x6</x:v>
      </x:c>
      <x:c r="C48" s="121" t="str">
        <x:v>4x2x2</x:v>
      </x:c>
      <x:c r="D48" s="121" t="str">
        <x:v>job 757623 (isolated rerun)</x:v>
      </x:c>
      <x:c r="E48" s="122" t="n">
        <x:f>E64</x:f>
        <x:v>0.043595</x:v>
      </x:c>
      <x:c r="F48" s="122" t="n">
        <x:f>F64</x:f>
        <x:v>0.098578</x:v>
      </x:c>
      <x:c r="G48" s="122" t="n">
        <x:f>IF(COUNT(E48:F48)=2,SUM(E48:F48),"")</x:f>
        <x:v>0.142173</x:v>
      </x:c>
    </x:row>
    <x:row r="49" ht="28" customHeight="1">
      <x:c r="A49" s="123" t="str">
        <x:v>32 DCU</x:v>
      </x:c>
      <x:c r="B49" s="123" t="str">
        <x:v>6x6x6</x:v>
      </x:c>
      <x:c r="C49" s="123" t="str">
        <x:v>4x4x2</x:v>
      </x:c>
      <x:c r="D49" s="123" t="str">
        <x:v>job 757625 (isolated rerun)</x:v>
      </x:c>
      <x:c r="E49" s="138" t="n">
        <x:f>E66</x:f>
        <x:v>0.023847</x:v>
      </x:c>
      <x:c r="F49" s="138" t="n">
        <x:f>F66</x:f>
        <x:v>0.064345</x:v>
      </x:c>
      <x:c r="G49" s="138" t="n">
        <x:f>IF(COUNT(E49:F49)=2,SUM(E49:F49),"")</x:f>
        <x:v>0.08819199999999999</x:v>
      </x:c>
    </x:row>
    <x:row r="50" ht="28" customHeight="1">
      <x:c r="A50" s="121" t="str">
        <x:v>64 DCU</x:v>
      </x:c>
      <x:c r="B50" s="121" t="str">
        <x:v>6x6x6</x:v>
      </x:c>
      <x:c r="C50" s="121" t="str">
        <x:v>4x4x4</x:v>
      </x:c>
      <x:c r="D50" s="121" t="str">
        <x:v>job 757627 (isolated rerun)</x:v>
      </x:c>
      <x:c r="E50" s="122" t="n">
        <x:f>E68</x:f>
        <x:v>0.012366</x:v>
      </x:c>
      <x:c r="F50" s="122" t="n">
        <x:f>F68</x:f>
        <x:v>0.049246</x:v>
      </x:c>
      <x:c r="G50" s="122" t="n">
        <x:f>IF(COUNT(E50:F50)=2,SUM(E50:F50),"")</x:f>
        <x:v>0.061612</x:v>
      </x:c>
    </x:row>
    <x:row r="51">
      <x:c r="A51" s="96"/>
      <x:c r="B51" s="96"/>
      <x:c r="C51" s="96"/>
      <x:c r="D51" s="96"/>
      <x:c r="E51" s="125"/>
      <x:c r="F51" s="125"/>
      <x:c r="G51" s="125"/>
    </x:row>
    <x:row r="52" ht="26" customHeight="1">
      <x:c r="A52" s="119" t="str">
        <x:v>Historical LAMMPS rows excluded from the exact-box main series</x:v>
      </x:c>
      <x:c r="B52" s="119"/>
      <x:c r="C52" s="119"/>
      <x:c r="D52" s="119"/>
      <x:c r="E52" s="126"/>
      <x:c r="F52" s="126"/>
      <x:c r="G52" s="126"/>
    </x:row>
    <x:row r="53" ht="28" customHeight="1">
      <x:c r="A53" s="120" t="str">
        <x:v>configuration</x:v>
      </x:c>
      <x:c r="B53" s="120" t="str">
        <x:v>status</x:v>
      </x:c>
      <x:c r="C53" s="120" t="str">
        <x:v>reason</x:v>
      </x:c>
      <x:c r="D53" s="120" t="str">
        <x:v>former location</x:v>
      </x:c>
      <x:c r="E53" s="137" t="str">
        <x:v>Pair</x:v>
      </x:c>
      <x:c r="F53" s="137" t="str">
        <x:v>Kspace</x:v>
      </x:c>
      <x:c r="G53" s="137" t="str">
        <x:v>Pair+Kspace</x:v>
      </x:c>
    </x:row>
    <x:row r="54" ht="28" customHeight="1">
      <x:c r="A54" s="128" t="str">
        <x:v>2GPU</x:v>
      </x:c>
      <x:c r="B54" s="128" t="str">
        <x:v>audit only</x:v>
      </x:c>
      <x:c r="C54" s="128" t="str">
        <x:v>pre exact-box campaign</x:v>
      </x:c>
      <x:c r="D54" s="128" t="str">
        <x:v>former main row</x:v>
      </x:c>
      <x:c r="E54" s="129" t="n">
        <x:v>0.33538</x:v>
      </x:c>
      <x:c r="F54" s="129" t="n">
        <x:v>0.5812</x:v>
      </x:c>
      <x:c r="G54" s="129" t="n">
        <x:f>IF(COUNT(E54:F54)=2,SUM(E54:F54),"")</x:f>
        <x:v>0.9165800000000001</x:v>
      </x:c>
    </x:row>
    <x:row r="55" ht="28" customHeight="1">
      <x:c r="A55" s="128" t="str">
        <x:v>4GPU</x:v>
      </x:c>
      <x:c r="B55" s="128" t="str">
        <x:v>audit only</x:v>
      </x:c>
      <x:c r="C55" s="128" t="str">
        <x:v>pre exact-box campaign</x:v>
      </x:c>
      <x:c r="D55" s="128" t="str">
        <x:v>former main row</x:v>
      </x:c>
      <x:c r="E55" s="129" t="n">
        <x:v>0.164885</x:v>
      </x:c>
      <x:c r="F55" s="129" t="n">
        <x:v>0.327885</x:v>
      </x:c>
      <x:c r="G55" s="129" t="n">
        <x:f>IF(COUNT(E55:F55)=2,SUM(E55:F55),"")</x:f>
        <x:v>0.49277</x:v>
      </x:c>
    </x:row>
    <x:row r="56" ht="28" customHeight="1">
      <x:c r="A56" s="128" t="str">
        <x:v>32GPU</x:v>
      </x:c>
      <x:c r="B56" s="128" t="str">
        <x:v>audit only</x:v>
      </x:c>
      <x:c r="C56" s="128" t="str">
        <x:v>pre exact-box campaign</x:v>
      </x:c>
      <x:c r="D56" s="128" t="str">
        <x:v>former main row</x:v>
      </x:c>
      <x:c r="E56" s="129" t="n">
        <x:v>0.025074</x:v>
      </x:c>
      <x:c r="F56" s="129" t="n">
        <x:v>0.078926</x:v>
      </x:c>
      <x:c r="G56" s="129" t="n">
        <x:f>IF(COUNT(E56:F56)=2,SUM(E56:F56),"")</x:f>
        <x:v>0.104</x:v>
      </x:c>
    </x:row>
    <x:row r="57">
      <x:c r="A57" s="96"/>
      <x:c r="B57" s="96"/>
      <x:c r="C57" s="96"/>
      <x:c r="D57" s="96"/>
      <x:c r="E57" s="125"/>
      <x:c r="F57" s="125"/>
      <x:c r="G57" s="125"/>
    </x:row>
    <x:row r="58" ht="34" customHeight="1">
      <x:c r="A58" s="130" t="str">
        <x:v>Isolated KISS reruns correct the former 32-DCU spike: Pair is unchanged (-0.09%), Kspace falls 22.74%, and Pair+Kspace falls 17.69% to 0.088192 s/step. The 16- and 64-DCU totals reproduce within +2.14% and -0.42%. Relative to 4 DCU, 64-DCU LAMMPS efficiency is 53.74%.</x:v>
      </x:c>
      <x:c r="B58" s="131"/>
      <x:c r="C58" s="131"/>
      <x:c r="D58" s="131"/>
      <x:c r="E58" s="139"/>
      <x:c r="F58" s="139"/>
      <x:c r="G58" s="140"/>
    </x:row>
    <x:row r="59" ht="34" customHeight="1">
      <x:c r="A59" s="133"/>
      <x:c r="B59" s="134"/>
      <x:c r="C59" s="134"/>
      <x:c r="D59" s="134"/>
      <x:c r="E59" s="141"/>
      <x:c r="F59" s="141"/>
      <x:c r="G59" s="142"/>
    </x:row>
    <x:row r="60" ht="28" customHeight="1">
      <x:c r="A60" s="136" t="str">
        <x:v>Source: water_strong_kiss_matched_recheck_20260820T164936.tgz (SHA-256 7ac9db90d1289a81952092df829d5cbcaeec7607e256084334b2d745f24c8286); reused 1/2/4/8-DCU provenance remains recorded above.</x:v>
      </x:c>
      <x:c r="B60" s="136"/>
      <x:c r="C60" s="136"/>
      <x:c r="D60" s="136"/>
      <x:c r="E60" s="143"/>
      <x:c r="F60" s="143"/>
      <x:c r="G60" s="143"/>
    </x:row>
    <x:row r="61">
      <x:c r="E61" s="22"/>
      <x:c r="F61" s="22"/>
      <x:c r="G61" s="22"/>
    </x:row>
    <x:row r="62" ht="26" customHeight="1">
      <x:c r="A62" s="96" t="str">
        <x:v>Matched isolated strong-scaling recheck: validated 16/32/64 DCU points</x:v>
      </x:c>
      <x:c r="B62" s="96"/>
      <x:c r="C62" s="96"/>
      <x:c r="D62" s="96"/>
      <x:c r="E62" s="22"/>
      <x:c r="F62" s="22"/>
      <x:c r="G62" s="22"/>
    </x:row>
    <x:row r="63" ht="30" customHeight="1">
      <x:c r="A63" s="152" t="str">
        <x:v>method / status</x:v>
      </x:c>
      <x:c r="B63" s="152" t="str">
        <x:v>DCUs</x:v>
      </x:c>
      <x:c r="C63" s="152" t="str">
        <x:v>MPI grid</x:v>
      </x:c>
      <x:c r="D63" s="152" t="str">
        <x:v>source</x:v>
      </x:c>
      <x:c r="E63" s="153" t="str">
        <x:v>Pair / Short</x:v>
      </x:c>
      <x:c r="F63" s="153" t="str">
        <x:v>Kspace / Long</x:v>
      </x:c>
      <x:c r="G63" s="153" t="str">
        <x:v>sum</x:v>
      </x:c>
    </x:row>
    <x:row r="64" ht="24" customHeight="1">
      <x:c r="A64" s="184" t="str">
        <x:v>LAMMPS-Kokkos (KISS), primary</x:v>
      </x:c>
      <x:c r="B64" s="184" t="str">
        <x:v>16</x:v>
      </x:c>
      <x:c r="C64" s="184" t="str">
        <x:v>4x2x2</x:v>
      </x:c>
      <x:c r="D64" s="184" t="str">
        <x:v>job 757623</x:v>
      </x:c>
      <x:c r="E64" s="155" t="n">
        <x:v>0.043595</x:v>
      </x:c>
      <x:c r="F64" s="155" t="n">
        <x:v>0.098578</x:v>
      </x:c>
      <x:c r="G64" s="155" t="n">
        <x:f>IF(COUNT(E64:F64)=2,SUM(E64:F64),"")</x:f>
        <x:v>0.142173</x:v>
      </x:c>
    </x:row>
    <x:row r="65" ht="24" customHeight="1">
      <x:c r="A65" s="184" t="str">
        <x:v>RBMD, primary</x:v>
      </x:c>
      <x:c r="B65" s="184" t="str">
        <x:v>16</x:v>
      </x:c>
      <x:c r="C65" s="184" t="str">
        <x:v>4x2x2</x:v>
      </x:c>
      <x:c r="D65" s="184" t="str">
        <x:v>job 757624</x:v>
      </x:c>
      <x:c r="E65" s="155" t="n">
        <x:v>0.054193</x:v>
      </x:c>
      <x:c r="F65" s="155" t="n">
        <x:v>0.008117</x:v>
      </x:c>
      <x:c r="G65" s="155" t="n">
        <x:f>IF(COUNT(E65:F65)=2,SUM(E65:F65),"")</x:f>
        <x:v>0.06231</x:v>
      </x:c>
    </x:row>
    <x:row r="66" ht="24" customHeight="1">
      <x:c r="A66" s="184" t="str">
        <x:v>LAMMPS-Kokkos (KISS), primary</x:v>
      </x:c>
      <x:c r="B66" s="184" t="str">
        <x:v>32</x:v>
      </x:c>
      <x:c r="C66" s="184" t="str">
        <x:v>4x4x2</x:v>
      </x:c>
      <x:c r="D66" s="184" t="str">
        <x:v>job 757625</x:v>
      </x:c>
      <x:c r="E66" s="155" t="n">
        <x:v>0.023847</x:v>
      </x:c>
      <x:c r="F66" s="155" t="n">
        <x:v>0.064345</x:v>
      </x:c>
      <x:c r="G66" s="155" t="n">
        <x:f>IF(COUNT(E66:F66)=2,SUM(E66:F66),"")</x:f>
        <x:v>0.08819199999999999</x:v>
      </x:c>
    </x:row>
    <x:row r="67" ht="24" customHeight="1">
      <x:c r="A67" s="184" t="str">
        <x:v>RBMD, primary</x:v>
      </x:c>
      <x:c r="B67" s="184" t="str">
        <x:v>32</x:v>
      </x:c>
      <x:c r="C67" s="184" t="str">
        <x:v>4x4x2</x:v>
      </x:c>
      <x:c r="D67" s="184" t="str">
        <x:v>job 757626</x:v>
      </x:c>
      <x:c r="E67" s="155" t="n">
        <x:v>0.024182</x:v>
      </x:c>
      <x:c r="F67" s="155" t="n">
        <x:v>0.005177</x:v>
      </x:c>
      <x:c r="G67" s="155" t="n">
        <x:f>IF(COUNT(E67:F67)=2,SUM(E67:F67),"")</x:f>
        <x:v>0.029359</x:v>
      </x:c>
    </x:row>
    <x:row r="68" ht="24" customHeight="1">
      <x:c r="A68" s="184" t="str">
        <x:v>LAMMPS-Kokkos (KISS), primary</x:v>
      </x:c>
      <x:c r="B68" s="184" t="str">
        <x:v>64</x:v>
      </x:c>
      <x:c r="C68" s="184" t="str">
        <x:v>4x4x4</x:v>
      </x:c>
      <x:c r="D68" s="184" t="str">
        <x:v>job 757627</x:v>
      </x:c>
      <x:c r="E68" s="155" t="n">
        <x:v>0.012366</x:v>
      </x:c>
      <x:c r="F68" s="155" t="n">
        <x:v>0.049246</x:v>
      </x:c>
      <x:c r="G68" s="155" t="n">
        <x:f>IF(COUNT(E68:F68)=2,SUM(E68:F68),"")</x:f>
        <x:v>0.061612</x:v>
      </x:c>
    </x:row>
    <x:row r="69" ht="24" customHeight="1">
      <x:c r="A69" s="184" t="str">
        <x:v>RBMD, primary</x:v>
      </x:c>
      <x:c r="B69" s="184" t="str">
        <x:v>64</x:v>
      </x:c>
      <x:c r="C69" s="184" t="str">
        <x:v>4x4x4</x:v>
      </x:c>
      <x:c r="D69" s="184" t="str">
        <x:v>job 757628</x:v>
      </x:c>
      <x:c r="E69" s="155" t="n">
        <x:v>0.017136</x:v>
      </x:c>
      <x:c r="F69" s="155" t="n">
        <x:v>0.003934</x:v>
      </x:c>
      <x:c r="G69" s="155" t="n">
        <x:f>IF(COUNT(E69:F69)=2,SUM(E69:F69),"")</x:f>
        <x:v>0.02107</x:v>
      </x:c>
    </x:row>
    <x:row r="70">
      <x:c r="A70" s="96"/>
      <x:c r="B70" s="96"/>
      <x:c r="C70" s="96"/>
      <x:c r="D70" s="96"/>
      <x:c r="E70" s="22"/>
      <x:c r="F70" s="22"/>
      <x:c r="G70" s="22"/>
    </x:row>
    <x:row r="71" ht="26" customHeight="1">
      <x:c r="A71" s="96" t="str">
        <x:v>Superseded points retained for audit</x:v>
      </x:c>
      <x:c r="B71" s="96"/>
      <x:c r="C71" s="96"/>
      <x:c r="D71" s="96"/>
      <x:c r="E71" s="22"/>
      <x:c r="F71" s="22"/>
      <x:c r="G71" s="22"/>
    </x:row>
    <x:row r="72" ht="30" customHeight="1">
      <x:c r="A72" s="152" t="str">
        <x:v>method / status</x:v>
      </x:c>
      <x:c r="B72" s="152" t="str">
        <x:v>DCUs</x:v>
      </x:c>
      <x:c r="C72" s="152" t="str">
        <x:v>MPI grid</x:v>
      </x:c>
      <x:c r="D72" s="152" t="str">
        <x:v>source / reason</x:v>
      </x:c>
      <x:c r="E72" s="153" t="str">
        <x:v>Pair / Short</x:v>
      </x:c>
      <x:c r="F72" s="153" t="str">
        <x:v>Kspace / Long</x:v>
      </x:c>
      <x:c r="G72" s="153" t="str">
        <x:v>sum</x:v>
      </x:c>
    </x:row>
    <x:row r="73" ht="28" customHeight="1">
      <x:c r="A73" s="185" t="str">
        <x:v>LAMMPS prior main</x:v>
      </x:c>
      <x:c r="B73" s="185" t="str">
        <x:v>16</x:v>
      </x:c>
      <x:c r="C73" s="185" t="str">
        <x:v>2x4x2</x:v>
      </x:c>
      <x:c r="D73" s="185" t="str">
        <x:v>job 755150; different axis permutation</x:v>
      </x:c>
      <x:c r="E73" s="157" t="n">
        <x:v>0.044639</x:v>
      </x:c>
      <x:c r="F73" s="157" t="n">
        <x:v>0.09456</x:v>
      </x:c>
      <x:c r="G73" s="157" t="n">
        <x:f>IF(COUNT(E73:F73)=2,SUM(E73:F73),"")</x:f>
        <x:v>0.13919900000000002</x:v>
      </x:c>
    </x:row>
    <x:row r="74" ht="28" customHeight="1">
      <x:c r="A74" s="185" t="str">
        <x:v>RBMD prior main</x:v>
      </x:c>
      <x:c r="B74" s="185" t="str">
        <x:v>16</x:v>
      </x:c>
      <x:c r="C74" s="185" t="str">
        <x:v>2x4x2</x:v>
      </x:c>
      <x:c r="D74" s="185" t="str">
        <x:v>job 755141; fastest topology audit</x:v>
      </x:c>
      <x:c r="E74" s="157" t="n">
        <x:v>0.05119</x:v>
      </x:c>
      <x:c r="F74" s="157" t="n">
        <x:v>0.008053</x:v>
      </x:c>
      <x:c r="G74" s="157" t="n">
        <x:f>IF(COUNT(E74:F74)=2,SUM(E74:F74),"")</x:f>
        <x:v>0.059243</x:v>
      </x:c>
    </x:row>
    <x:row r="75" ht="28" customHeight="1">
      <x:c r="A75" s="185" t="str">
        <x:v>RBMD prior same-grid</x:v>
      </x:c>
      <x:c r="B75" s="185" t="str">
        <x:v>16</x:v>
      </x:c>
      <x:c r="C75" s="185" t="str">
        <x:v>4x2x2</x:v>
      </x:c>
      <x:c r="D75" s="185" t="str">
        <x:v>job 755103; comparison to new matched grid</x:v>
      </x:c>
      <x:c r="E75" s="157" t="n">
        <x:v>0.053676</x:v>
      </x:c>
      <x:c r="F75" s="157" t="n">
        <x:v>0.008067</x:v>
      </x:c>
      <x:c r="G75" s="157" t="n">
        <x:f>IF(COUNT(E75:F75)=2,SUM(E75:F75),"")</x:f>
        <x:v>0.061743</x:v>
      </x:c>
    </x:row>
    <x:row r="76" ht="28" customHeight="1">
      <x:c r="A76" s="186" t="str">
        <x:v>LAMMPS contaminated</x:v>
      </x:c>
      <x:c r="B76" s="186" t="str">
        <x:v>32</x:v>
      </x:c>
      <x:c r="C76" s="186" t="str">
        <x:v>4x4x2</x:v>
      </x:c>
      <x:c r="D76" s="186" t="str">
        <x:v>job 755394; co-located with weak job 755395</x:v>
      </x:c>
      <x:c r="E76" s="159" t="n">
        <x:v>0.023868</x:v>
      </x:c>
      <x:c r="F76" s="159" t="n">
        <x:v>0.083283</x:v>
      </x:c>
      <x:c r="G76" s="159" t="n">
        <x:f>IF(COUNT(E76:F76)=2,SUM(E76:F76),"")</x:f>
        <x:v>0.107151</x:v>
      </x:c>
    </x:row>
    <x:row r="77" ht="28" customHeight="1">
      <x:c r="A77" s="185" t="str">
        <x:v>RBMD prior main</x:v>
      </x:c>
      <x:c r="B77" s="185" t="str">
        <x:v>32</x:v>
      </x:c>
      <x:c r="C77" s="185" t="str">
        <x:v>4x4x2</x:v>
      </x:c>
      <x:c r="D77" s="185" t="str">
        <x:v>job 754567</x:v>
      </x:c>
      <x:c r="E77" s="157" t="n">
        <x:v>0.024177</x:v>
      </x:c>
      <x:c r="F77" s="157" t="n">
        <x:v>0.005189</x:v>
      </x:c>
      <x:c r="G77" s="157" t="n">
        <x:f>IF(COUNT(E77:F77)=2,SUM(E77:F77),"")</x:f>
        <x:v>0.029366</x:v>
      </x:c>
    </x:row>
    <x:row r="78" ht="28" customHeight="1">
      <x:c r="A78" s="185" t="str">
        <x:v>LAMMPS prior main</x:v>
      </x:c>
      <x:c r="B78" s="185" t="str">
        <x:v>64</x:v>
      </x:c>
      <x:c r="C78" s="185" t="str">
        <x:v>4x4x4</x:v>
      </x:c>
      <x:c r="D78" s="185" t="str">
        <x:v>job 745655</x:v>
      </x:c>
      <x:c r="E78" s="157" t="n">
        <x:v>0.012366</x:v>
      </x:c>
      <x:c r="F78" s="157" t="n">
        <x:v>0.049507</x:v>
      </x:c>
      <x:c r="G78" s="157" t="n">
        <x:f>IF(COUNT(E78:F78)=2,SUM(E78:F78),"")</x:f>
        <x:v>0.061873000000000004</x:v>
      </x:c>
    </x:row>
    <x:row r="79" ht="28" customHeight="1">
      <x:c r="A79" s="185" t="str">
        <x:v>RBMD prior main</x:v>
      </x:c>
      <x:c r="B79" s="185" t="str">
        <x:v>64</x:v>
      </x:c>
      <x:c r="C79" s="185" t="str">
        <x:v>4x4x4</x:v>
      </x:c>
      <x:c r="D79" s="185" t="str">
        <x:v>job 754579</x:v>
      </x:c>
      <x:c r="E79" s="157" t="n">
        <x:v>0.017131</x:v>
      </x:c>
      <x:c r="F79" s="157" t="n">
        <x:v>0.00395</x:v>
      </x:c>
      <x:c r="G79" s="157" t="n">
        <x:f>IF(COUNT(E79:F79)=2,SUM(E79:F79),"")</x:f>
        <x:v>0.021081000000000003</x:v>
      </x:c>
    </x:row>
    <x:row r="80">
      <x:c r="A80" s="96"/>
      <x:c r="B80" s="96"/>
      <x:c r="C80" s="96"/>
      <x:c r="D80" s="96"/>
    </x:row>
    <x:row r="81" ht="38" customHeight="1">
      <x:c r="A81" s="174" t="str">
        <x:v>Conclusion: the old LAMMPS 32-DCU anomaly came from same-node job colocation, specifically Kspace/FFT communication, not from the 6x6x6 box or processor grid. RBMD reproduces the prior same-grid 16-DCU point within 0.92% and the prior 32/64-DCU points within 0.03%/0.06%; its 32-to-64 plateau is therefore real. From the common 4-DCU baseline, 64-DCU efficiency is 53.74% for LAMMPS and 64.52% for RBMD; RBMD is 2.92x faster at 64 DCU.</x:v>
      </x:c>
      <x:c r="B81" s="175"/>
      <x:c r="C81" s="175"/>
      <x:c r="D81" s="175"/>
      <x:c r="E81" s="175"/>
      <x:c r="F81" s="175"/>
      <x:c r="G81" s="176"/>
    </x:row>
    <x:row r="82" ht="38" customHeight="1">
      <x:c r="A82" s="177"/>
      <x:c r="B82" s="178"/>
      <x:c r="C82" s="178"/>
      <x:c r="D82" s="178"/>
      <x:c r="E82" s="178"/>
      <x:c r="F82" s="178"/>
      <x:c r="G82" s="179"/>
    </x:row>
    <x:row r="83" ht="34" customHeight="1">
      <x:c r="A83" s="183" t="str">
        <x:v>Source: /public/home/acymkxdx47/rbmd/build/new_gyf_test/water_strong_kiss_matched_recheck_20260820 (validated jobs 757623-757628; archive SHA-256 7ac9db90d1289a81952092df829d5cbcaeec7607e256084334b2d745f24c8286).</x:v>
      </x:c>
      <x:c r="B83" s="183"/>
      <x:c r="C83" s="183"/>
      <x:c r="D83" s="183"/>
      <x:c r="E83" s="183"/>
      <x:c r="F83" s="183"/>
      <x:c r="G83" s="183"/>
    </x:row>
  </x:sheetData>
  <x:mergeCells>
    <x:mergeCell ref="A14:G14"/>
    <x:mergeCell ref="A25:G26"/>
    <x:mergeCell ref="A27:G27"/>
    <x:mergeCell ref="A29:G29"/>
    <x:mergeCell ref="A38:G39"/>
    <x:mergeCell ref="A40:G40"/>
    <x:mergeCell ref="A3:G3"/>
    <x:mergeCell ref="A42:G42"/>
    <x:mergeCell ref="A52:G52"/>
    <x:mergeCell ref="A58:G59"/>
    <x:mergeCell ref="A60:G60"/>
    <x:mergeCell ref="A62:G62"/>
    <x:mergeCell ref="A71:G71"/>
    <x:mergeCell ref="A81:G82"/>
    <x:mergeCell ref="A83:G8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RowHeight="14"/>
  <x:cols>
    <x:col min="1" max="1" width="22" customWidth="1"/>
    <x:col min="2" max="4" width="14" customWidth="1"/>
  </x:cols>
  <x:sheetData>
    <x:row r="1">
      <x:c r="A1" t="s">
        <x:v>3</x:v>
      </x:c>
    </x:row>
    <x:row r="2">
      <x:c r="A2" t="s">
        <x:v>4</x:v>
      </x:c>
    </x:row>
    <x:row r="3" ht="15">
      <x:c r="A3" s="3" t="s">
        <x:v>5</x:v>
      </x:c>
      <x:c r="B3" s="3" t="s">
        <x:v>0</x:v>
      </x:c>
      <x:c r="C3" s="3" t="s">
        <x:v>1</x:v>
      </x:c>
      <x:c r="D3" s="3" t="s">
        <x:v>2</x:v>
      </x:c>
    </x:row>
    <x:row r="4">
      <x:c r="A4" s="4">
        <x:v>583848</x:v>
      </x:c>
      <x:c r="B4" s="5" t="n">
        <x:v>0.008378</x:v>
      </x:c>
      <x:c r="C4" s="5" t="n">
        <x:v>0.002902</x:v>
      </x:c>
      <x:c r="D4" s="5" t="n">
        <x:f t="shared" ref="D4:D9" si="0">B4+C4</x:f>
        <x:v>0.01128</x:v>
      </x:c>
    </x:row>
    <x:row r="5">
      <x:c r="A5" s="4">
        <x:v>1313658</x:v>
      </x:c>
      <x:c r="B5" s="5" t="n">
        <x:v>0.016579</x:v>
      </x:c>
      <x:c r="C5" s="5" t="n">
        <x:v>0.00373</x:v>
      </x:c>
      <x:c r="D5" s="5" t="n">
        <x:f t="shared" si="0">B5+C5</x:f>
        <x:v>0.020309</x:v>
      </x:c>
    </x:row>
    <x:row r="6">
      <x:c r="A6" s="4">
        <x:v>1970487</x:v>
      </x:c>
      <x:c r="B6" s="5" t="n">
        <x:v>0.024096</x:v>
      </x:c>
      <x:c r="C6" s="5" t="n">
        <x:v>0.004697</x:v>
      </x:c>
      <x:c r="D6" s="5" t="n">
        <x:f t="shared" si="0">B6+C6</x:f>
        <x:v>0.028793</x:v>
      </x:c>
    </x:row>
    <x:row r="7">
      <x:c r="A7" s="4">
        <x:v>3940974</x:v>
      </x:c>
      <x:c r="B7" s="5" t="n">
        <x:v>0.048364</x:v>
      </x:c>
      <x:c r="C7" s="5" t="n">
        <x:v>0.007736</x:v>
      </x:c>
      <x:c r="D7" s="5" t="n">
        <x:f t="shared" si="0">B7+C7</x:f>
        <x:v>0.0561</x:v>
      </x:c>
    </x:row>
    <x:row r="8">
      <x:c r="A8" s="4">
        <x:v>7881948</x:v>
      </x:c>
      <x:c r="B8" s="5" t="n">
        <x:v>0.097031</x:v>
      </x:c>
      <x:c r="C8" s="5" t="n">
        <x:v>0.013747</x:v>
      </x:c>
      <x:c r="D8" s="5" t="n">
        <x:f t="shared" si="0">B8+C8</x:f>
        <x:v>0.110778</x:v>
      </x:c>
    </x:row>
    <x:row r="9">
      <x:c r="A9" s="4">
        <x:v>15763896</x:v>
      </x:c>
      <x:c r="B9" s="5" t="n">
        <x:v>0.191911</x:v>
      </x:c>
      <x:c r="C9" s="5" t="n">
        <x:v>0.025691</x:v>
      </x:c>
      <x:c r="D9" s="5" t="n">
        <x:f t="shared" si="0">B9+C9</x:f>
        <x:v>0.217602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43" hidden="0" customWidth="1"/>
    <x:col min="2" max="2" width="20" hidden="0" customWidth="1"/>
    <x:col min="3" max="3" width="22" hidden="0" customWidth="1"/>
    <x:col min="4" max="7" width="17" customWidth="1"/>
    <x:col min="4" max="4" width="27" hidden="0" customWidth="1"/>
    <x:col min="5" max="5" width="17" hidden="0" customWidth="1"/>
    <x:col min="6" max="6" width="17" hidden="0" customWidth="1"/>
    <x:col min="7" max="7" width="17" hidden="0" customWidth="1"/>
  </x:cols>
  <x:sheetData>
    <x:row r="3" ht="28" customHeight="1">
      <x:c r="A3" s="96" t="str">
        <x:v>Water LAMMPS weak scaling: 3,940,974 atoms/DCU; RBMD-exact boxes and MPI grids (32 DCU isolated validation; 1000 steps)</x:v>
      </x:c>
      <x:c r="B3" s="96"/>
      <x:c r="C3" s="96"/>
      <x:c r="D3" s="96"/>
      <x:c r="E3" s="96"/>
      <x:c r="F3" s="96"/>
      <x:c r="G3" s="96"/>
    </x:row>
    <x:row r="4">
      <x:c r="B4" t="s">
        <x:v>6</x:v>
      </x:c>
      <x:c r="E4" t="s">
        <x:v>7</x:v>
      </x:c>
    </x:row>
    <x:row r="5">
      <x:c r="B5" t="str">
        <x:v>Pair</x:v>
      </x:c>
      <x:c r="C5" t="str">
        <x:v>Kspace</x:v>
      </x:c>
      <x:c r="D5" t="str">
        <x:v>Pair+Kspace</x:v>
      </x:c>
      <x:c r="E5" t="s">
        <x:v>0</x:v>
      </x:c>
      <x:c r="F5" t="s">
        <x:v>1</x:v>
      </x:c>
      <x:c r="G5" t="s">
        <x:v>2</x:v>
      </x:c>
    </x:row>
    <x:row r="6">
      <x:c r="A6" t="s">
        <x:v>8</x:v>
      </x:c>
      <x:c r="B6" s="22" t="n">
        <x:v>0.172395</x:v>
      </x:c>
      <x:c r="C6" s="22" t="n">
        <x:v>0.227425</x:v>
      </x:c>
      <x:c r="D6" s="22" t="n">
        <x:f t="shared" ref="D6:D12" si="0">IF(COUNT(B6:C6)=2,SUM(B6:C6),"")</x:f>
        <x:v>0.39981999999999995</x:v>
      </x:c>
      <x:c r="E6" s="6">
        <x:v>0.242009</x:v>
      </x:c>
      <x:c r="F6" s="6">
        <x:v>2.5255E-2</x:v>
      </x:c>
      <x:c r="G6" s="6" t="n">
        <x:f t="shared" ref="G6:G12" si="1">IF(COUNT(E6:F6)=2,SUM(E6:F6),"")</x:f>
        <x:v>0.267264</x:v>
      </x:c>
    </x:row>
    <x:row r="7">
      <x:c r="A7" t="s">
        <x:v>9</x:v>
      </x:c>
      <x:c r="B7" s="22" t="n">
        <x:v>0.16803</x:v>
      </x:c>
      <x:c r="C7" s="22" t="n">
        <x:v>0.31233</x:v>
      </x:c>
      <x:c r="D7" s="22" t="n">
        <x:f t="shared" si="0">IF(COUNT(B7:C7)=2,SUM(B7:C7),"")</x:f>
        <x:v>0.48036</x:v>
      </x:c>
      <x:c r="E7" s="6">
        <x:v>0.25034800000000001</x:v>
      </x:c>
      <x:c r="F7" s="6">
        <x:v>2.5534999999999999E-2</x:v>
      </x:c>
      <x:c r="G7" s="6" t="n">
        <x:f t="shared" si="1">IF(COUNT(E7:F7)=2,SUM(E7:F7),"")</x:f>
        <x:v>0.275883</x:v>
      </x:c>
    </x:row>
    <x:row r="8">
      <x:c r="A8" t="s">
        <x:v>10</x:v>
      </x:c>
      <x:c r="B8" s="22" t="n">
        <x:v>0.16151</x:v>
      </x:c>
      <x:c r="C8" s="22" t="n">
        <x:v>0.35015</x:v>
      </x:c>
      <x:c r="D8" s="22" t="n">
        <x:f t="shared" si="0">IF(COUNT(B8:C8)=2,SUM(B8:C8),"")</x:f>
        <x:v>0.51166</x:v>
      </x:c>
      <x:c r="E8" s="6">
        <x:v>0.19189600000000001</x:v>
      </x:c>
      <x:c r="F8" s="6">
        <x:v>2.5634000000000001E-2</x:v>
      </x:c>
      <x:c r="G8" s="6" t="n">
        <x:f t="shared" si="1">IF(COUNT(E8:F8)=2,SUM(E8:F8),"")</x:f>
        <x:v>0.21753</x:v>
      </x:c>
    </x:row>
    <x:row r="9">
      <x:c r="A9" t="s">
        <x:v>11</x:v>
      </x:c>
      <x:c r="B9" s="22" t="n">
        <x:v>0.16922</x:v>
      </x:c>
      <x:c r="C9" s="22" t="n">
        <x:v>0.36825</x:v>
      </x:c>
      <x:c r="D9" s="22" t="n">
        <x:f t="shared" si="0">IF(COUNT(B9:C9)=2,SUM(B9:C9),"")</x:f>
        <x:v>0.53747</x:v>
      </x:c>
      <x:c r="E9" s="6">
        <x:v>0.19212099999999999</x:v>
      </x:c>
      <x:c r="F9" s="6">
        <x:v>2.5899999999999999E-2</x:v>
      </x:c>
      <x:c r="G9" s="6" t="n">
        <x:f t="shared" si="1">IF(COUNT(E9:F9)=2,SUM(E9:F9),"")</x:f>
        <x:v>0.218021</x:v>
      </x:c>
    </x:row>
    <x:row r="10">
      <x:c r="A10" t="s">
        <x:v>12</x:v>
      </x:c>
      <x:c r="B10" s="22" t="n">
        <x:v>0.17243</x:v>
      </x:c>
      <x:c r="C10" s="22" t="n">
        <x:v>0.37055</x:v>
      </x:c>
      <x:c r="D10" s="22" t="n">
        <x:f t="shared" si="0">IF(COUNT(B10:C10)=2,SUM(B10:C10),"")</x:f>
        <x:v>0.54298</x:v>
      </x:c>
      <x:c r="E10" s="6">
        <x:v>0.19214899999999999</x:v>
      </x:c>
      <x:c r="F10" s="6">
        <x:v>2.6145999999999999E-2</x:v>
      </x:c>
      <x:c r="G10" s="6" t="n">
        <x:f t="shared" si="1">IF(COUNT(E10:F10)=2,SUM(E10:F10),"")</x:f>
        <x:v>0.218295</x:v>
      </x:c>
    </x:row>
    <x:row r="11">
      <x:c r="A11" t="s">
        <x:v>13</x:v>
      </x:c>
      <x:c r="B11" s="22" t="n">
        <x:v>0.16305</x:v>
      </x:c>
      <x:c r="C11" s="22" t="n">
        <x:v>0.38572</x:v>
      </x:c>
      <x:c r="D11" s="22" t="n">
        <x:f t="shared" si="0">IF(COUNT(B11:C11)=2,SUM(B11:C11),"")</x:f>
        <x:v>0.54877</x:v>
      </x:c>
      <x:c r="E11" s="6">
        <x:v>0.192161</x:v>
      </x:c>
      <x:c r="F11" s="6">
        <x:v>2.6235999999999999E-2</x:v>
      </x:c>
      <x:c r="G11" s="6" t="n">
        <x:f t="shared" si="1">IF(COUNT(E11:F11)=2,SUM(E11:F11),"")</x:f>
        <x:v>0.218397</x:v>
      </x:c>
    </x:row>
    <x:row r="12" ht="15">
      <x:c r="A12" t="s">
        <x:v>14</x:v>
      </x:c>
      <x:c r="B12" s="22" t="n">
        <x:v>0.16665</x:v>
      </x:c>
      <x:c r="C12" s="22" t="n">
        <x:v>0.38679</x:v>
      </x:c>
      <x:c r="D12" s="22" t="n">
        <x:f t="shared" si="0">IF(COUNT(B12:C12)=2,SUM(B12:C12),"")</x:f>
        <x:v>0.55344</x:v>
      </x:c>
      <x:c r="E12" s="2">
        <x:v>0.19220300000000001</x:v>
      </x:c>
      <x:c r="F12" s="2">
        <x:v>2.6577E-2</x:v>
      </x:c>
      <x:c r="G12" s="6" t="n">
        <x:f t="shared" si="1">IF(COUNT(E12:F12)=2,SUM(E12:F12),"")</x:f>
        <x:v>0.21878</x:v>
      </x:c>
    </x:row>
    <x:row r="13">
      <x:c r="B13" s="6"/>
      <x:c r="C13" s="6"/>
      <x:c r="D13" s="6"/>
      <x:c r="E13" s="6"/>
      <x:c r="F13" s="6"/>
      <x:c r="G13" s="6"/>
    </x:row>
    <x:row r="14" ht="26" customHeight="1">
      <x:c r="A14" s="119" t="str">
        <x:v>LAMMPS-Kokkos Water weak scaling: RBMD-exact boxes, processor grids, and isolated 32-DCU validation</x:v>
      </x:c>
      <x:c r="B14" s="119"/>
      <x:c r="C14" s="119"/>
      <x:c r="D14" s="119"/>
      <x:c r="E14" s="119"/>
      <x:c r="F14" s="119"/>
      <x:c r="G14" s="119"/>
    </x:row>
    <x:row r="15" ht="28" customHeight="1">
      <x:c r="A15" s="120" t="str">
        <x:v>configuration</x:v>
      </x:c>
      <x:c r="B15" s="120" t="str">
        <x:v>global replicate</x:v>
      </x:c>
      <x:c r="C15" s="120" t="str">
        <x:v>processor grid</x:v>
      </x:c>
      <x:c r="D15" s="120" t="str">
        <x:v>source</x:v>
      </x:c>
      <x:c r="E15" s="120" t="str">
        <x:v>Pair</x:v>
      </x:c>
      <x:c r="F15" s="120" t="str">
        <x:v>Kspace</x:v>
      </x:c>
      <x:c r="G15" s="120" t="str">
        <x:v>Pair+Kspace</x:v>
      </x:c>
    </x:row>
    <x:row r="16" ht="28" customHeight="1">
      <x:c r="A16" s="121" t="str">
        <x:v>1 DCU</x:v>
      </x:c>
      <x:c r="B16" s="121" t="str">
        <x:v>6x3x3</x:v>
      </x:c>
      <x:c r="C16" s="121" t="str">
        <x:v>1x1x1</x:v>
      </x:c>
      <x:c r="D16" s="121" t="str">
        <x:v>job 745159 (reused)</x:v>
      </x:c>
      <x:c r="E16" s="122" t="n">
        <x:v>0.172395</x:v>
      </x:c>
      <x:c r="F16" s="122" t="n">
        <x:v>0.227425</x:v>
      </x:c>
      <x:c r="G16" s="122" t="n">
        <x:f>IF(COUNT(E16:F16)=2,SUM(E16:F16),"")</x:f>
        <x:v>0.39981999999999995</x:v>
      </x:c>
    </x:row>
    <x:row r="17" ht="28" customHeight="1">
      <x:c r="A17" s="123" t="str">
        <x:v>2 DCU</x:v>
      </x:c>
      <x:c r="B17" s="123" t="str">
        <x:v>6x6x3</x:v>
      </x:c>
      <x:c r="C17" s="123" t="str">
        <x:v>2x1x1</x:v>
      </x:c>
      <x:c r="D17" s="123" t="str">
        <x:v>job 755392 (new)</x:v>
      </x:c>
      <x:c r="E17" s="124" t="n">
        <x:v>0.16803</x:v>
      </x:c>
      <x:c r="F17" s="124" t="n">
        <x:v>0.31233</x:v>
      </x:c>
      <x:c r="G17" s="124" t="n">
        <x:f>IF(COUNT(E17:F17)=2,SUM(E17:F17),"")</x:f>
        <x:v>0.48036</x:v>
      </x:c>
    </x:row>
    <x:row r="18" ht="28" customHeight="1">
      <x:c r="A18" s="123" t="str">
        <x:v>4 DCU</x:v>
      </x:c>
      <x:c r="B18" s="123" t="str">
        <x:v>6x6x6</x:v>
      </x:c>
      <x:c r="C18" s="123" t="str">
        <x:v>2x2x1</x:v>
      </x:c>
      <x:c r="D18" s="123" t="str">
        <x:v>job 755393 (new)</x:v>
      </x:c>
      <x:c r="E18" s="124" t="n">
        <x:v>0.16151</x:v>
      </x:c>
      <x:c r="F18" s="124" t="n">
        <x:v>0.35015</x:v>
      </x:c>
      <x:c r="G18" s="124" t="n">
        <x:f>IF(COUNT(E18:F18)=2,SUM(E18:F18),"")</x:f>
        <x:v>0.51166</x:v>
      </x:c>
    </x:row>
    <x:row r="19" ht="28" customHeight="1">
      <x:c r="A19" s="121" t="str">
        <x:v>8 DCU</x:v>
      </x:c>
      <x:c r="B19" s="121" t="str">
        <x:v>6x6x12</x:v>
      </x:c>
      <x:c r="C19" s="121" t="str">
        <x:v>2x2x2</x:v>
      </x:c>
      <x:c r="D19" s="121" t="str">
        <x:v>job 748259 (reused)</x:v>
      </x:c>
      <x:c r="E19" s="122" t="n">
        <x:v>0.16922</x:v>
      </x:c>
      <x:c r="F19" s="122" t="n">
        <x:v>0.36825</x:v>
      </x:c>
      <x:c r="G19" s="122" t="n">
        <x:f>IF(COUNT(E19:F19)=2,SUM(E19:F19),"")</x:f>
        <x:v>0.53747</x:v>
      </x:c>
    </x:row>
    <x:row r="20" ht="28" customHeight="1">
      <x:c r="A20" s="121" t="str">
        <x:v>16 DCU</x:v>
      </x:c>
      <x:c r="B20" s="121" t="str">
        <x:v>12x6x12</x:v>
      </x:c>
      <x:c r="C20" s="121" t="str">
        <x:v>4x2x2</x:v>
      </x:c>
      <x:c r="D20" s="121" t="str">
        <x:v>job 748262 (reused)</x:v>
      </x:c>
      <x:c r="E20" s="122" t="n">
        <x:v>0.17243</x:v>
      </x:c>
      <x:c r="F20" s="122" t="n">
        <x:v>0.37055</x:v>
      </x:c>
      <x:c r="G20" s="122" t="n">
        <x:f>IF(COUNT(E20:F20)=2,SUM(E20:F20),"")</x:f>
        <x:v>0.54298</x:v>
      </x:c>
    </x:row>
    <x:row r="21" ht="28" customHeight="1">
      <x:c r="A21" s="123" t="str">
        <x:v>32 DCU</x:v>
      </x:c>
      <x:c r="B21" s="123" t="str">
        <x:v>12x12x12</x:v>
      </x:c>
      <x:c r="C21" s="123" t="str">
        <x:v>4x4x2</x:v>
      </x:c>
      <x:c r="D21" s="123" t="str">
        <x:v>job 755757 (isolated validation)</x:v>
      </x:c>
      <x:c r="E21" s="124" t="n">
        <x:v>0.16305</x:v>
      </x:c>
      <x:c r="F21" s="124" t="n">
        <x:v>0.38572</x:v>
      </x:c>
      <x:c r="G21" s="124" t="n">
        <x:f>IF(COUNT(E21:F21)=2,SUM(E21:F21),"")</x:f>
        <x:v>0.54877</x:v>
      </x:c>
    </x:row>
    <x:row r="22" ht="28" customHeight="1">
      <x:c r="A22" s="121" t="str">
        <x:v>64 DCU</x:v>
      </x:c>
      <x:c r="B22" s="121" t="str">
        <x:v>12x12x24</x:v>
      </x:c>
      <x:c r="C22" s="121" t="str">
        <x:v>4x4x4</x:v>
      </x:c>
      <x:c r="D22" s="121" t="str">
        <x:v>job 748265 (reused)</x:v>
      </x:c>
      <x:c r="E22" s="122" t="n">
        <x:v>0.16665</x:v>
      </x:c>
      <x:c r="F22" s="122" t="n">
        <x:v>0.38679</x:v>
      </x:c>
      <x:c r="G22" s="122" t="n">
        <x:f>IF(COUNT(E22:F22)=2,SUM(E22:F22),"")</x:f>
        <x:v>0.55344</x:v>
      </x:c>
    </x:row>
    <x:row r="23">
      <x:c r="A23" s="96"/>
      <x:c r="B23" s="96"/>
      <x:c r="C23" s="96"/>
      <x:c r="D23" s="96"/>
      <x:c r="E23" s="125"/>
      <x:c r="F23" s="125"/>
      <x:c r="G23" s="125"/>
    </x:row>
    <x:row r="24" ht="26" customHeight="1">
      <x:c r="A24" s="119" t="str">
        <x:v>Historical LAMMPS rows excluded from the exact-box main series</x:v>
      </x:c>
      <x:c r="B24" s="119"/>
      <x:c r="C24" s="119"/>
      <x:c r="D24" s="119"/>
      <x:c r="E24" s="126"/>
      <x:c r="F24" s="126"/>
      <x:c r="G24" s="126"/>
    </x:row>
    <x:row r="25" ht="28" customHeight="1">
      <x:c r="A25" s="120" t="str">
        <x:v>configuration</x:v>
      </x:c>
      <x:c r="B25" s="120" t="str">
        <x:v>status</x:v>
      </x:c>
      <x:c r="C25" s="120" t="str">
        <x:v>reason</x:v>
      </x:c>
      <x:c r="D25" s="120" t="str">
        <x:v>former location</x:v>
      </x:c>
      <x:c r="E25" s="127" t="str">
        <x:v>Pair</x:v>
      </x:c>
      <x:c r="F25" s="127" t="str">
        <x:v>Kspace</x:v>
      </x:c>
      <x:c r="G25" s="127" t="str">
        <x:v>Pair+Kspace</x:v>
      </x:c>
    </x:row>
    <x:row r="26" ht="28" customHeight="1">
      <x:c r="A26" s="128" t="str">
        <x:v>2GPU</x:v>
      </x:c>
      <x:c r="B26" s="128" t="str">
        <x:v>audit only</x:v>
      </x:c>
      <x:c r="C26" s="128" t="str">
        <x:v>pre exact-box campaign</x:v>
      </x:c>
      <x:c r="D26" s="128" t="str">
        <x:v>former main row</x:v>
      </x:c>
      <x:c r="E26" s="129" t="n">
        <x:v>0.16808</x:v>
      </x:c>
      <x:c r="F26" s="129" t="n">
        <x:v>0.303015</x:v>
      </x:c>
      <x:c r="G26" s="129" t="n">
        <x:f>IF(COUNT(E26:F26)=2,SUM(E26:F26),"")</x:f>
        <x:v>0.471095</x:v>
      </x:c>
    </x:row>
    <x:row r="27" ht="28" customHeight="1">
      <x:c r="A27" s="128" t="str">
        <x:v>4GPU</x:v>
      </x:c>
      <x:c r="B27" s="128" t="str">
        <x:v>audit only</x:v>
      </x:c>
      <x:c r="C27" s="128" t="str">
        <x:v>pre exact-box campaign</x:v>
      </x:c>
      <x:c r="D27" s="128" t="str">
        <x:v>former main row</x:v>
      </x:c>
      <x:c r="E27" s="129" t="n">
        <x:v>0.164975</x:v>
      </x:c>
      <x:c r="F27" s="129" t="n">
        <x:v>0.326975</x:v>
      </x:c>
      <x:c r="G27" s="129" t="n">
        <x:f>IF(COUNT(E27:F27)=2,SUM(E27:F27),"")</x:f>
        <x:v>0.49195</x:v>
      </x:c>
    </x:row>
    <x:row r="28" ht="28" customHeight="1">
      <x:c r="A28" s="128" t="str">
        <x:v>32GPU</x:v>
      </x:c>
      <x:c r="B28" s="128" t="str">
        <x:v>audit only</x:v>
      </x:c>
      <x:c r="C28" s="128" t="str">
        <x:v>pre exact-box campaign</x:v>
      </x:c>
      <x:c r="D28" s="128" t="str">
        <x:v>former main row</x:v>
      </x:c>
      <x:c r="E28" s="129" t="n">
        <x:v>0.16616</x:v>
      </x:c>
      <x:c r="F28" s="129" t="n">
        <x:v>0.50234</x:v>
      </x:c>
      <x:c r="G28" s="129" t="n">
        <x:f>IF(COUNT(E28:F28)=2,SUM(E28:F28),"")</x:f>
        <x:v>0.6685</x:v>
      </x:c>
    </x:row>
    <x:row r="29">
      <x:c r="A29" s="96" t="str">
        <x:v>32GPU</x:v>
      </x:c>
      <x:c r="B29" s="96" t="str">
        <x:v>audit only</x:v>
      </x:c>
      <x:c r="C29" s="96" t="str">
        <x:v>same-node colocation with strong 32-DCU job</x:v>
      </x:c>
      <x:c r="D29" s="96" t="str">
        <x:v>job 755395 (former main)</x:v>
      </x:c>
      <x:c r="E29" s="125" t="n">
        <x:v>0.16305</x:v>
      </x:c>
      <x:c r="F29" s="125" t="n">
        <x:v>0.4949</x:v>
      </x:c>
      <x:c r="G29" s="125" t="n">
        <x:f>IF(COUNT(E29:F29)=2,SUM(E29:F29),"")</x:f>
        <x:v>0.65795</x:v>
      </x:c>
    </x:row>
    <x:row r="30" ht="34" customHeight="1">
      <x:c r="A30" s="130" t="str">
        <x:v>Clean isolated 32-DCU rerun (job 755757) gives 0.548770 s/step, 16.59% below the colocated job 755395 value of 0.657950 s/step. Pair is unchanged at 0.163050 s/step; Kspace drops from 0.494900 to 0.385720 s/step, bringing 32 DCU in line with the 16/64-DCU totals of 0.542980/0.553440 s/step. The former anomaly was caused by same-node job colocation, not box shape or processor topology.</x:v>
      </x:c>
      <x:c r="B30" s="131"/>
      <x:c r="C30" s="131"/>
      <x:c r="D30" s="131"/>
      <x:c r="E30" s="131"/>
      <x:c r="F30" s="131"/>
      <x:c r="G30" s="132"/>
    </x:row>
    <x:row r="31" ht="34" customHeight="1">
      <x:c r="A31" s="133"/>
      <x:c r="B31" s="134"/>
      <x:c r="C31" s="134"/>
      <x:c r="D31" s="134"/>
      <x:c r="E31" s="134"/>
      <x:c r="F31" s="134"/>
      <x:c r="G31" s="135"/>
    </x:row>
    <x:row r="32" ht="28" customHeight="1">
      <x:c r="A32" s="136" t="str">
        <x:v>Source: lammps_water_weak32_isolated_validation_20260819.tgz (SHA-256 dc5f69a6409a58ceab3c8148c99707c9458e55bdb8b4652f2f9647d3fcc769e6; job 755757). Former colocated point: job 755395 in lammps_water_rbmd_exact_boxes_20260819T223946.tgz (SHA-256 e9b87c829b0b4d1d5a15f02605423f624d0e181fb1f431141e05741c80767545).</x:v>
      </x:c>
      <x:c r="B32" s="136"/>
      <x:c r="C32" s="136"/>
      <x:c r="D32" s="136"/>
      <x:c r="E32" s="136"/>
      <x:c r="F32" s="136"/>
      <x:c r="G32" s="136"/>
    </x:row>
    <x:row r="33" ht="40" customHeight="1">
      <x:c r="A33" s="10"/>
      <x:c r="B33" s="6"/>
      <x:c r="C33" s="6"/>
      <x:c r="D33" s="6"/>
      <x:c r="E33" s="6"/>
      <x:c r="F33" s="6"/>
      <x:c r="G33" s="6"/>
    </x:row>
    <x:row r="34" ht="40" customHeight="1">
      <x:c r="A34" s="10"/>
      <x:c r="B34" s="6"/>
      <x:c r="C34" s="6"/>
      <x:c r="D34" s="6"/>
      <x:c r="E34" s="6"/>
      <x:c r="F34" s="6"/>
      <x:c r="G34" s="6"/>
    </x:row>
    <x:row r="36" ht="56" customHeight="1">
      <x:c r="A36" s="21"/>
      <x:c r="B36" s="21"/>
      <x:c r="C36" s="21"/>
      <x:c r="D36" s="21"/>
      <x:c r="E36" s="21"/>
      <x:c r="F36" s="21"/>
      <x:c r="G36" s="21"/>
    </x:row>
  </x:sheetData>
  <x:mergeCells>
    <x:mergeCell ref="A36:G36"/>
    <x:mergeCell ref="A3:G3"/>
    <x:mergeCell ref="A14:G14"/>
    <x:mergeCell ref="A24:G24"/>
    <x:mergeCell ref="A30:G31"/>
    <x:mergeCell ref="A32:G3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sheetData>
    <x:row r="2">
      <x:c r="A2" t="s">
        <x:v>15</x:v>
      </x:c>
    </x:row>
    <x:row r="3">
      <x:c r="A3" t="s">
        <x:v>16</x:v>
      </x:c>
    </x:row>
    <x:row r="8">
      <x:c r="A8" t="s">
        <x:v>17</x:v>
      </x:c>
      <x:c r="F8" t="s">
        <x:v>18</x:v>
      </x:c>
      <x:c r="K8" t="s">
        <x:v>19</x:v>
      </x:c>
    </x:row>
    <x:row r="9">
      <x:c r="A9" t="s">
        <x:v>20</x:v>
      </x:c>
      <x:c r="B9" t="s">
        <x:v>21</x:v>
      </x:c>
      <x:c r="C9" t="s">
        <x:v>22</x:v>
      </x:c>
      <x:c r="F9" t="s">
        <x:v>20</x:v>
      </x:c>
      <x:c r="G9" t="s">
        <x:v>21</x:v>
      </x:c>
      <x:c r="H9" t="s">
        <x:v>22</x:v>
      </x:c>
      <x:c r="K9" t="s">
        <x:v>20</x:v>
      </x:c>
      <x:c r="L9" t="s">
        <x:v>21</x:v>
      </x:c>
      <x:c r="M9" t="s">
        <x:v>22</x:v>
      </x:c>
    </x:row>
    <x:row r="10">
      <x:c r="A10">
        <x:v>4.1666700000000001E-2</x:v>
      </x:c>
      <x:c r="B10">
        <x:v>0</x:v>
      </x:c>
      <x:c r="C10">
        <x:v>0</x:v>
      </x:c>
      <x:c r="F10">
        <x:v>4.1666700000000001E-2</x:v>
      </x:c>
      <x:c r="G10">
        <x:v>0</x:v>
      </x:c>
      <x:c r="H10">
        <x:v>0</x:v>
      </x:c>
      <x:c r="K10">
        <x:v>4.1666700000000001E-2</x:v>
      </x:c>
      <x:c r="L10">
        <x:v>0</x:v>
      </x:c>
      <x:c r="M10">
        <x:v>0</x:v>
      </x:c>
    </x:row>
    <x:row r="11">
      <x:c r="A11">
        <x:v>0.125</x:v>
      </x:c>
      <x:c r="B11">
        <x:v>0</x:v>
      </x:c>
      <x:c r="C11">
        <x:v>0</x:v>
      </x:c>
      <x:c r="F11">
        <x:v>0.125</x:v>
      </x:c>
      <x:c r="G11">
        <x:v>0</x:v>
      </x:c>
      <x:c r="H11">
        <x:v>0</x:v>
      </x:c>
      <x:c r="K11">
        <x:v>0.125</x:v>
      </x:c>
      <x:c r="L11">
        <x:v>0</x:v>
      </x:c>
      <x:c r="M11">
        <x:v>0</x:v>
      </x:c>
    </x:row>
    <x:row r="12">
      <x:c r="A12">
        <x:v>0.20833299999999999</x:v>
      </x:c>
      <x:c r="B12">
        <x:v>0</x:v>
      </x:c>
      <x:c r="C12">
        <x:v>0</x:v>
      </x:c>
      <x:c r="F12">
        <x:v>0.20833299999999999</x:v>
      </x:c>
      <x:c r="G12">
        <x:v>0</x:v>
      </x:c>
      <x:c r="H12">
        <x:v>0</x:v>
      </x:c>
      <x:c r="K12">
        <x:v>0.20833299999999999</x:v>
      </x:c>
      <x:c r="L12">
        <x:v>0</x:v>
      </x:c>
      <x:c r="M12">
        <x:v>0</x:v>
      </x:c>
    </x:row>
    <x:row r="13">
      <x:c r="A13">
        <x:v>0.29166700000000001</x:v>
      </x:c>
      <x:c r="B13">
        <x:v>0</x:v>
      </x:c>
      <x:c r="C13">
        <x:v>0</x:v>
      </x:c>
      <x:c r="F13">
        <x:v>0.29166700000000001</x:v>
      </x:c>
      <x:c r="G13">
        <x:v>0</x:v>
      </x:c>
      <x:c r="H13">
        <x:v>0</x:v>
      </x:c>
      <x:c r="K13">
        <x:v>0.29166700000000001</x:v>
      </x:c>
      <x:c r="L13">
        <x:v>0</x:v>
      </x:c>
      <x:c r="M13">
        <x:v>0</x:v>
      </x:c>
    </x:row>
    <x:row r="14">
      <x:c r="A14">
        <x:v>0.375</x:v>
      </x:c>
      <x:c r="B14">
        <x:v>0</x:v>
      </x:c>
      <x:c r="C14">
        <x:v>0</x:v>
      </x:c>
      <x:c r="F14">
        <x:v>0.375</x:v>
      </x:c>
      <x:c r="G14">
        <x:v>0</x:v>
      </x:c>
      <x:c r="H14">
        <x:v>0</x:v>
      </x:c>
      <x:c r="K14">
        <x:v>0.375</x:v>
      </x:c>
      <x:c r="L14">
        <x:v>0</x:v>
      </x:c>
      <x:c r="M14">
        <x:v>0</x:v>
      </x:c>
    </x:row>
    <x:row r="15">
      <x:c r="A15">
        <x:v>0.45833299999999999</x:v>
      </x:c>
      <x:c r="B15">
        <x:v>0</x:v>
      </x:c>
      <x:c r="C15">
        <x:v>0</x:v>
      </x:c>
      <x:c r="F15">
        <x:v>0.45833299999999999</x:v>
      </x:c>
      <x:c r="G15">
        <x:v>0</x:v>
      </x:c>
      <x:c r="H15">
        <x:v>0</x:v>
      </x:c>
      <x:c r="K15">
        <x:v>0.45833299999999999</x:v>
      </x:c>
      <x:c r="L15">
        <x:v>0</x:v>
      </x:c>
      <x:c r="M15">
        <x:v>0</x:v>
      </x:c>
    </x:row>
    <x:row r="16">
      <x:c r="A16">
        <x:v>0.54166700000000001</x:v>
      </x:c>
      <x:c r="B16">
        <x:v>0</x:v>
      </x:c>
      <x:c r="C16">
        <x:v>0</x:v>
      </x:c>
      <x:c r="F16">
        <x:v>0.54166700000000001</x:v>
      </x:c>
      <x:c r="G16">
        <x:v>0</x:v>
      </x:c>
      <x:c r="H16">
        <x:v>0</x:v>
      </x:c>
      <x:c r="K16">
        <x:v>0.54166700000000001</x:v>
      </x:c>
      <x:c r="L16">
        <x:v>0</x:v>
      </x:c>
      <x:c r="M16">
        <x:v>0</x:v>
      </x:c>
    </x:row>
    <x:row r="17">
      <x:c r="A17">
        <x:v>0.625</x:v>
      </x:c>
      <x:c r="B17">
        <x:v>0</x:v>
      </x:c>
      <x:c r="C17">
        <x:v>0</x:v>
      </x:c>
      <x:c r="F17">
        <x:v>0.625</x:v>
      </x:c>
      <x:c r="G17">
        <x:v>0</x:v>
      </x:c>
      <x:c r="H17">
        <x:v>0</x:v>
      </x:c>
      <x:c r="K17">
        <x:v>0.625</x:v>
      </x:c>
      <x:c r="L17">
        <x:v>0</x:v>
      </x:c>
      <x:c r="M17">
        <x:v>0</x:v>
      </x:c>
    </x:row>
    <x:row r="18">
      <x:c r="A18">
        <x:v>0.70833299999999999</x:v>
      </x:c>
      <x:c r="B18">
        <x:v>0</x:v>
      </x:c>
      <x:c r="C18">
        <x:v>0</x:v>
      </x:c>
      <x:c r="F18">
        <x:v>0.70833299999999999</x:v>
      </x:c>
      <x:c r="G18">
        <x:v>0</x:v>
      </x:c>
      <x:c r="H18">
        <x:v>0</x:v>
      </x:c>
      <x:c r="K18">
        <x:v>0.70833299999999999</x:v>
      </x:c>
      <x:c r="L18">
        <x:v>0</x:v>
      </x:c>
      <x:c r="M18">
        <x:v>0</x:v>
      </x:c>
    </x:row>
    <x:row r="19">
      <x:c r="A19">
        <x:v>0.79166700000000001</x:v>
      </x:c>
      <x:c r="B19">
        <x:v>0</x:v>
      </x:c>
      <x:c r="C19">
        <x:v>0</x:v>
      </x:c>
      <x:c r="F19">
        <x:v>0.79166700000000001</x:v>
      </x:c>
      <x:c r="G19">
        <x:v>0</x:v>
      </x:c>
      <x:c r="H19">
        <x:v>0</x:v>
      </x:c>
      <x:c r="K19">
        <x:v>0.79166700000000001</x:v>
      </x:c>
      <x:c r="L19">
        <x:v>0</x:v>
      </x:c>
      <x:c r="M19">
        <x:v>0</x:v>
      </x:c>
    </x:row>
    <x:row r="20">
      <x:c r="A20">
        <x:v>0.875</x:v>
      </x:c>
      <x:c r="B20">
        <x:v>0</x:v>
      </x:c>
      <x:c r="C20">
        <x:v>0</x:v>
      </x:c>
      <x:c r="F20">
        <x:v>0.875</x:v>
      </x:c>
      <x:c r="G20">
        <x:v>0</x:v>
      </x:c>
      <x:c r="H20">
        <x:v>0</x:v>
      </x:c>
      <x:c r="K20">
        <x:v>0.875</x:v>
      </x:c>
      <x:c r="L20">
        <x:v>0</x:v>
      </x:c>
      <x:c r="M20">
        <x:v>0</x:v>
      </x:c>
    </x:row>
    <x:row r="21">
      <x:c r="A21">
        <x:v>0.95833299999999999</x:v>
      </x:c>
      <x:c r="B21">
        <x:v>0</x:v>
      </x:c>
      <x:c r="C21">
        <x:v>0</x:v>
      </x:c>
      <x:c r="F21">
        <x:v>0.95833299999999999</x:v>
      </x:c>
      <x:c r="G21">
        <x:v>0</x:v>
      </x:c>
      <x:c r="H21">
        <x:v>0</x:v>
      </x:c>
      <x:c r="K21">
        <x:v>0.95833299999999999</x:v>
      </x:c>
      <x:c r="L21">
        <x:v>0</x:v>
      </x:c>
      <x:c r="M21">
        <x:v>0</x:v>
      </x:c>
    </x:row>
    <x:row r="22">
      <x:c r="A22">
        <x:v>1.0416700000000001</x:v>
      </x:c>
      <x:c r="B22">
        <x:v>0</x:v>
      </x:c>
      <x:c r="C22">
        <x:v>0</x:v>
      </x:c>
      <x:c r="F22">
        <x:v>1.0416700000000001</x:v>
      </x:c>
      <x:c r="G22">
        <x:v>0</x:v>
      </x:c>
      <x:c r="H22">
        <x:v>0</x:v>
      </x:c>
      <x:c r="K22">
        <x:v>1.0416700000000001</x:v>
      </x:c>
      <x:c r="L22">
        <x:v>0</x:v>
      </x:c>
      <x:c r="M22">
        <x:v>0</x:v>
      </x:c>
    </x:row>
    <x:row r="23">
      <x:c r="A23">
        <x:v>1.125</x:v>
      </x:c>
      <x:c r="B23">
        <x:v>0</x:v>
      </x:c>
      <x:c r="C23">
        <x:v>0</x:v>
      </x:c>
      <x:c r="F23">
        <x:v>1.125</x:v>
      </x:c>
      <x:c r="G23">
        <x:v>0</x:v>
      </x:c>
      <x:c r="H23">
        <x:v>0</x:v>
      </x:c>
      <x:c r="K23">
        <x:v>1.125</x:v>
      </x:c>
      <x:c r="L23">
        <x:v>0</x:v>
      </x:c>
      <x:c r="M23">
        <x:v>0</x:v>
      </x:c>
    </x:row>
    <x:row r="24">
      <x:c r="A24">
        <x:v>1.2083299999999999</x:v>
      </x:c>
      <x:c r="B24">
        <x:v>0</x:v>
      </x:c>
      <x:c r="C24">
        <x:v>0</x:v>
      </x:c>
      <x:c r="F24">
        <x:v>1.2083299999999999</x:v>
      </x:c>
      <x:c r="G24">
        <x:v>0</x:v>
      </x:c>
      <x:c r="H24">
        <x:v>0</x:v>
      </x:c>
      <x:c r="K24">
        <x:v>1.2083299999999999</x:v>
      </x:c>
      <x:c r="L24">
        <x:v>8.0535000000000005E-7</x:v>
      </x:c>
      <x:c r="M24">
        <x:v>0</x:v>
      </x:c>
    </x:row>
    <x:row r="25">
      <x:c r="A25">
        <x:v>1.2916700000000001</x:v>
      </x:c>
      <x:c r="B25">
        <x:v>0</x:v>
      </x:c>
      <x:c r="C25">
        <x:v>0</x:v>
      </x:c>
      <x:c r="F25">
        <x:v>1.2916700000000001</x:v>
      </x:c>
      <x:c r="G25">
        <x:v>0</x:v>
      </x:c>
      <x:c r="H25">
        <x:v>0</x:v>
      </x:c>
      <x:c r="K25">
        <x:v>1.2916700000000001</x:v>
      </x:c>
      <x:c r="L25">
        <x:v>4.2289250000000003E-6</x:v>
      </x:c>
      <x:c r="M25">
        <x:v>3.4892158690411741E-6</x:v>
      </x:c>
    </x:row>
    <x:row r="26">
      <x:c r="A26">
        <x:v>1.375</x:v>
      </x:c>
      <x:c r="B26">
        <x:v>0</x:v>
      </x:c>
      <x:c r="C26">
        <x:v>0</x:v>
      </x:c>
      <x:c r="F26">
        <x:v>1.375</x:v>
      </x:c>
      <x:c r="G26">
        <x:v>1.3683799999999999E-5</x:v>
      </x:c>
      <x:c r="H26">
        <x:v>1.8474954236098605E-5</x:v>
      </x:c>
      <x:c r="K26">
        <x:v>1.375</x:v>
      </x:c>
      <x:c r="L26">
        <x:v>5.5047299999999997E-5</x:v>
      </x:c>
      <x:c r="M26">
        <x:v>7.0822113532814871E-5</x:v>
      </x:c>
    </x:row>
    <x:row r="27">
      <x:c r="A27">
        <x:v>1.4583299999999999</x:v>
      </x:c>
      <x:c r="B27">
        <x:v>0</x:v>
      </x:c>
      <x:c r="C27">
        <x:v>0</x:v>
      </x:c>
      <x:c r="F27">
        <x:v>1.4583299999999999</x:v>
      </x:c>
      <x:c r="G27">
        <x:v>5.2870850000000004E-3</x:v>
      </x:c>
      <x:c r="H27">
        <x:v>4.7877170441514381E-3</x:v>
      </x:c>
      <x:c r="K27">
        <x:v>1.4583299999999999</x:v>
      </x:c>
      <x:c r="L27">
        <x:v>5.5324350000000009E-4</x:v>
      </x:c>
      <x:c r="M27">
        <x:v>6.3509044270539019E-4</x:v>
      </x:c>
    </x:row>
    <x:row r="28">
      <x:c r="A28">
        <x:v>1.5416700000000001</x:v>
      </x:c>
      <x:c r="B28">
        <x:v>0</x:v>
      </x:c>
      <x:c r="C28">
        <x:v>0</x:v>
      </x:c>
      <x:c r="F28">
        <x:v>1.5416700000000001</x:v>
      </x:c>
      <x:c r="G28">
        <x:v>0.13350200000000001</x:v>
      </x:c>
      <x:c r="H28">
        <x:v>0.12747137670127201</x:v>
      </x:c>
      <x:c r="K28">
        <x:v>1.5416700000000001</x:v>
      </x:c>
      <x:c r="L28">
        <x:v>3.53002E-3</x:v>
      </x:c>
      <x:c r="M28">
        <x:v>3.3167392061319752E-3</x:v>
      </x:c>
    </x:row>
    <x:row r="29">
      <x:c r="A29">
        <x:v>1.625</x:v>
      </x:c>
      <x:c r="B29">
        <x:v>0</x:v>
      </x:c>
      <x:c r="C29">
        <x:v>0</x:v>
      </x:c>
      <x:c r="F29">
        <x:v>1.625</x:v>
      </x:c>
      <x:c r="G29">
        <x:v>0.71190599999999993</x:v>
      </x:c>
      <x:c r="H29">
        <x:v>0.70716205598049409</x:v>
      </x:c>
      <x:c r="K29">
        <x:v>1.625</x:v>
      </x:c>
      <x:c r="L29">
        <x:v>1.5968400000000001E-2</x:v>
      </x:c>
      <x:c r="M29">
        <x:v>1.5444917716265298E-2</x:v>
      </x:c>
    </x:row>
    <x:row r="30">
      <x:c r="A30">
        <x:v>1.7083299999999999</x:v>
      </x:c>
      <x:c r="B30">
        <x:v>0</x:v>
      </x:c>
      <x:c r="C30">
        <x:v>0</x:v>
      </x:c>
      <x:c r="F30">
        <x:v>1.7083299999999999</x:v>
      </x:c>
      <x:c r="G30">
        <x:v>1.4375899999999999</x:v>
      </x:c>
      <x:c r="H30">
        <x:v>1.4610733149933643</x:v>
      </x:c>
      <x:c r="K30">
        <x:v>1.7083299999999999</x:v>
      </x:c>
      <x:c r="L30">
        <x:v>5.3396600000000002E-2</x:v>
      </x:c>
      <x:c r="M30">
        <x:v>5.2153904504480417E-2</x:v>
      </x:c>
    </x:row>
    <x:row r="31">
      <x:c r="A31">
        <x:v>1.7916700000000001</x:v>
      </x:c>
      <x:c r="B31">
        <x:v>0</x:v>
      </x:c>
      <x:c r="C31">
        <x:v>0</x:v>
      </x:c>
      <x:c r="F31">
        <x:v>1.7916700000000001</x:v>
      </x:c>
      <x:c r="G31">
        <x:v>1.6143149999999999</x:v>
      </x:c>
      <x:c r="H31">
        <x:v>1.6549464135824625</x:v>
      </x:c>
      <x:c r="K31">
        <x:v>1.7916700000000001</x:v>
      </x:c>
      <x:c r="L31">
        <x:v>0.136661</x:v>
      </x:c>
      <x:c r="M31">
        <x:v>0.13442530667723226</x:v>
      </x:c>
    </x:row>
    <x:row r="32">
      <x:c r="A32">
        <x:v>1.875</x:v>
      </x:c>
      <x:c r="B32">
        <x:v>0</x:v>
      </x:c>
      <x:c r="C32">
        <x:v>0</x:v>
      </x:c>
      <x:c r="F32">
        <x:v>1.875</x:v>
      </x:c>
      <x:c r="G32">
        <x:v>1.3040400000000001</x:v>
      </x:c>
      <x:c r="H32">
        <x:v>1.334790554871697</x:v>
      </x:c>
      <x:c r="K32">
        <x:v>1.875</x:v>
      </x:c>
      <x:c r="L32">
        <x:v>0.28141850000000002</x:v>
      </x:c>
      <x:c r="M32">
        <x:v>0.27710731769563046</x:v>
      </x:c>
    </x:row>
    <x:row r="33">
      <x:c r="A33">
        <x:v>1.9583299999999999</x:v>
      </x:c>
      <x:c r="B33">
        <x:v>0</x:v>
      </x:c>
      <x:c r="C33">
        <x:v>0</x:v>
      </x:c>
      <x:c r="F33">
        <x:v>1.9583299999999999</x:v>
      </x:c>
      <x:c r="G33">
        <x:v>0.89546950000000003</x:v>
      </x:c>
      <x:c r="H33">
        <x:v>0.90711491974775416</x:v>
      </x:c>
      <x:c r="K33">
        <x:v>1.9583299999999999</x:v>
      </x:c>
      <x:c r="L33">
        <x:v>0.48545749999999999</x:v>
      </x:c>
      <x:c r="M33">
        <x:v>0.48036069192697811</x:v>
      </x:c>
    </x:row>
    <x:row r="34">
      <x:c r="A34">
        <x:v>2.0416699999999999</x:v>
      </x:c>
      <x:c r="B34">
        <x:v>0</x:v>
      </x:c>
      <x:c r="C34">
        <x:v>0</x:v>
      </x:c>
      <x:c r="F34">
        <x:v>2.0416699999999999</x:v>
      </x:c>
      <x:c r="G34">
        <x:v>0.58037800000000006</x:v>
      </x:c>
      <x:c r="H34">
        <x:v>0.58019575313703931</x:v>
      </x:c>
      <x:c r="K34">
        <x:v>2.0416699999999999</x:v>
      </x:c>
      <x:c r="L34">
        <x:v>0.7266205</x:v>
      </x:c>
      <x:c r="M34">
        <x:v>0.72355369633056443</x:v>
      </x:c>
    </x:row>
    <x:row r="35">
      <x:c r="A35">
        <x:v>2.125</x:v>
      </x:c>
      <x:c r="B35">
        <x:v>0</x:v>
      </x:c>
      <x:c r="C35">
        <x:v>0</x:v>
      </x:c>
      <x:c r="F35">
        <x:v>2.125</x:v>
      </x:c>
      <x:c r="G35">
        <x:v>0.38092300000000001</x:v>
      </x:c>
      <x:c r="H35">
        <x:v>0.3744033091448144</x:v>
      </x:c>
      <x:c r="K35">
        <x:v>2.125</x:v>
      </x:c>
      <x:c r="L35">
        <x:v>0.97114199999999995</x:v>
      </x:c>
      <x:c r="M35">
        <x:v>0.97521659552805706</x:v>
      </x:c>
    </x:row>
    <x:row r="36">
      <x:c r="A36">
        <x:v>2.2083300000000001</x:v>
      </x:c>
      <x:c r="B36">
        <x:v>0</x:v>
      </x:c>
      <x:c r="C36">
        <x:v>0</x:v>
      </x:c>
      <x:c r="F36">
        <x:v>2.2083300000000001</x:v>
      </x:c>
      <x:c r="G36">
        <x:v>0.26435549999999997</x:v>
      </x:c>
      <x:c r="H36">
        <x:v>0.25552407572042013</x:v>
      </x:c>
      <x:c r="K36">
        <x:v>2.2083300000000001</x:v>
      </x:c>
      <x:c r="L36">
        <x:v>1.17984</x:v>
      </x:c>
      <x:c r="M36">
        <x:v>1.1894744896096037</x:v>
      </x:c>
    </x:row>
    <x:row r="37">
      <x:c r="A37">
        <x:v>2.2916699999999999</x:v>
      </x:c>
      <x:c r="B37">
        <x:v>0</x:v>
      </x:c>
      <x:c r="C37">
        <x:v>0</x:v>
      </x:c>
      <x:c r="F37">
        <x:v>2.2916699999999999</x:v>
      </x:c>
      <x:c r="G37">
        <x:v>0.20167199999999999</x:v>
      </x:c>
      <x:c r="H37">
        <x:v>0.19199385228463717</x:v>
      </x:c>
      <x:c r="K37">
        <x:v>2.2916699999999999</x:v>
      </x:c>
      <x:c r="L37">
        <x:v>1.3211249999999999</x:v>
      </x:c>
      <x:c r="M37">
        <x:v>1.3378421853750313</x:v>
      </x:c>
    </x:row>
    <x:row r="38">
      <x:c r="A38">
        <x:v>2.375</x:v>
      </x:c>
      <x:c r="B38">
        <x:v>5.7137099999999999E-5</x:v>
      </x:c>
      <x:c r="C38">
        <x:v>6.1939508004944606E-5</x:v>
      </x:c>
      <x:c r="F38">
        <x:v>2.375</x:v>
      </x:c>
      <x:c r="G38">
        <x:v>0.17464550000000001</x:v>
      </x:c>
      <x:c r="H38">
        <x:v>0.16341344794946797</x:v>
      </x:c>
      <x:c r="K38">
        <x:v>2.375</x:v>
      </x:c>
      <x:c r="L38">
        <x:v>1.3735999999999999</x:v>
      </x:c>
      <x:c r="M38">
        <x:v>1.391689168064522</x:v>
      </x:c>
    </x:row>
    <x:row r="39">
      <x:c r="A39">
        <x:v>2.4583300000000001</x:v>
      </x:c>
      <x:c r="B39">
        <x:v>1.6699550000000001E-2</x:v>
      </x:c>
      <x:c r="C39">
        <x:v>1.5439601775009523E-2</x:v>
      </x:c>
      <x:c r="F39">
        <x:v>2.4583300000000001</x:v>
      </x:c>
      <x:c r="G39">
        <x:v>0.17668499999999998</x:v>
      </x:c>
      <x:c r="H39">
        <x:v>0.16546884496725833</x:v>
      </x:c>
      <x:c r="K39">
        <x:v>2.4583300000000001</x:v>
      </x:c>
      <x:c r="L39">
        <x:v>1.3339400000000001</x:v>
      </x:c>
      <x:c r="M39">
        <x:v>1.348084434811853</x:v>
      </x:c>
    </x:row>
    <x:row r="40">
      <x:c r="A40">
        <x:v>2.5416699999999999</x:v>
      </x:c>
      <x:c r="B40">
        <x:v>0.36198750000000002</x:v>
      </x:c>
      <x:c r="C40">
        <x:v>0.34993358349827686</x:v>
      </x:c>
      <x:c r="F40">
        <x:v>2.5416699999999999</x:v>
      </x:c>
      <x:c r="G40">
        <x:v>0.20835100000000001</x:v>
      </x:c>
      <x:c r="H40">
        <x:v>0.19620716596063018</x:v>
      </x:c>
      <x:c r="K40">
        <x:v>2.5416699999999999</x:v>
      </x:c>
      <x:c r="L40">
        <x:v>1.2164299999999999</x:v>
      </x:c>
      <x:c r="M40">
        <x:v>1.223320907679373</x:v>
      </x:c>
    </x:row>
    <x:row r="41">
      <x:c r="A41">
        <x:v>2.625</x:v>
      </x:c>
      <x:c r="B41">
        <x:v>1.6715949999999999</x:v>
      </x:c>
      <x:c r="C41">
        <x:v>1.6758231057412381</x:v>
      </x:c>
      <x:c r="F41">
        <x:v>2.625</x:v>
      </x:c>
      <x:c r="G41">
        <x:v>0.27537250000000002</x:v>
      </x:c>
      <x:c r="H41">
        <x:v>0.26069284004718046</x:v>
      </x:c>
      <x:c r="K41">
        <x:v>2.625</x:v>
      </x:c>
      <x:c r="L41">
        <x:v>1.0560450000000001</x:v>
      </x:c>
      <x:c r="M41">
        <x:v>1.0564970276526728</x:v>
      </x:c>
    </x:row>
    <x:row r="42">
      <x:c r="A42">
        <x:v>2.7083300000000001</x:v>
      </x:c>
      <x:c r="B42">
        <x:v>2.9615149999999999</x:v>
      </x:c>
      <x:c r="C42">
        <x:v>3.0252381292570738</x:v>
      </x:c>
      <x:c r="F42">
        <x:v>2.7083300000000001</x:v>
      </x:c>
      <x:c r="G42">
        <x:v>0.38190000000000002</x:v>
      </x:c>
      <x:c r="H42">
        <x:v>0.36673335570064514</x:v>
      </x:c>
      <x:c r="K42">
        <x:v>2.7083300000000001</x:v>
      </x:c>
      <x:c r="L42">
        <x:v>0.89653749999999999</x:v>
      </x:c>
      <x:c r="M42">
        <x:v>0.88744905683059694</x:v>
      </x:c>
    </x:row>
    <x:row r="43">
      <x:c r="A43">
        <x:v>2.7916699999999999</x:v>
      </x:c>
      <x:c r="B43">
        <x:v>2.9920099999999996</x:v>
      </x:c>
      <x:c r="C43">
        <x:v>3.0587775724033559</x:v>
      </x:c>
      <x:c r="F43">
        <x:v>2.7916699999999999</x:v>
      </x:c>
      <x:c r="G43">
        <x:v>0.52954599999999996</x:v>
      </x:c>
      <x:c r="H43">
        <x:v>0.51366200955908103</x:v>
      </x:c>
      <x:c r="K43">
        <x:v>2.7916699999999999</x:v>
      </x:c>
      <x:c r="L43">
        <x:v>0.77529700000000001</x:v>
      </x:c>
      <x:c r="M43">
        <x:v>0.76313651491533896</x:v>
      </x:c>
    </x:row>
    <x:row r="44">
      <x:c r="A44">
        <x:v>2.875</x:v>
      </x:c>
      <x:c r="B44">
        <x:v>2.266845</x:v>
      </x:c>
      <x:c r="C44">
        <x:v>2.2852210523618584</x:v>
      </x:c>
      <x:c r="F44">
        <x:v>2.875</x:v>
      </x:c>
      <x:c r="G44">
        <x:v>0.72098149999999994</x:v>
      </x:c>
      <x:c r="H44">
        <x:v>0.70591431026997076</x:v>
      </x:c>
      <x:c r="K44">
        <x:v>2.875</x:v>
      </x:c>
      <x:c r="L44">
        <x:v>0.70630499999999996</x:v>
      </x:c>
      <x:c r="M44">
        <x:v>0.69008771489913445</x:v>
      </x:c>
    </x:row>
    <x:row r="45">
      <x:c r="A45">
        <x:v>2.9583300000000001</x:v>
      </x:c>
      <x:c r="B45">
        <x:v>1.5602049999999998</x:v>
      </x:c>
      <x:c r="C45">
        <x:v>1.5469130179581922</x:v>
      </x:c>
      <x:c r="F45">
        <x:v>2.9583300000000001</x:v>
      </x:c>
      <x:c r="G45">
        <x:v>0.95859450000000002</x:v>
      </x:c>
      <x:c r="H45">
        <x:v>0.94631884500670016</x:v>
      </x:c>
      <x:c r="K45">
        <x:v>2.9583300000000001</x:v>
      </x:c>
      <x:c r="L45">
        <x:v>0.68362600000000007</x:v>
      </x:c>
      <x:c r="M45">
        <x:v>0.66833375581236099</x:v>
      </x:c>
    </x:row>
    <x:row r="46">
      <x:c r="A46">
        <x:v>3.0416699999999999</x:v>
      </x:c>
      <x:c r="B46">
        <x:v>1.1166149999999999</x:v>
      </x:c>
      <x:c r="C46">
        <x:v>1.0841718354294534</x:v>
      </x:c>
      <x:c r="F46">
        <x:v>3.0416699999999999</x:v>
      </x:c>
      <x:c r="G46">
        <x:v>1.221625</x:v>
      </x:c>
      <x:c r="H46">
        <x:v>1.2174031774318201</x:v>
      </x:c>
      <x:c r="K46">
        <x:v>3.0416699999999999</x:v>
      </x:c>
      <x:c r="L46">
        <x:v>0.69479150000000001</x:v>
      </x:c>
      <x:c r="M46">
        <x:v>0.68029612718841692</x:v>
      </x:c>
    </x:row>
    <x:row r="47">
      <x:c r="A47">
        <x:v>3.125</x:v>
      </x:c>
      <x:c r="B47">
        <x:v>0.89220250000000001</x:v>
      </x:c>
      <x:c r="C47">
        <x:v>0.85491077345042754</x:v>
      </x:c>
      <x:c r="F47">
        <x:v>3.125</x:v>
      </x:c>
      <x:c r="G47">
        <x:v>1.447845</x:v>
      </x:c>
      <x:c r="H47">
        <x:v>1.4510662657215943</x:v>
      </x:c>
      <x:c r="K47">
        <x:v>3.125</x:v>
      </x:c>
      <x:c r="L47">
        <x:v>0.72846549999999999</x:v>
      </x:c>
      <x:c r="M47">
        <x:v>0.71693799407560799</x:v>
      </x:c>
    </x:row>
    <x:row r="48">
      <x:c r="A48">
        <x:v>3.2083300000000001</x:v>
      </x:c>
      <x:c r="B48">
        <x:v>0.79937600000000009</x:v>
      </x:c>
      <x:c r="C48">
        <x:v>0.76196059981185249</x:v>
      </x:c>
      <x:c r="F48">
        <x:v>3.2083300000000001</x:v>
      </x:c>
      <x:c r="G48">
        <x:v>1.5680800000000001</x:v>
      </x:c>
      <x:c r="H48">
        <x:v>1.5774604358054822</x:v>
      </x:c>
      <x:c r="K48">
        <x:v>3.2083300000000001</x:v>
      </x:c>
      <x:c r="L48">
        <x:v>0.77628199999999992</x:v>
      </x:c>
      <x:c r="M48">
        <x:v>0.76573408275246657</x:v>
      </x:c>
    </x:row>
    <x:row r="49">
      <x:c r="A49">
        <x:v>3.2916699999999999</x:v>
      </x:c>
      <x:c r="B49">
        <x:v>0.77149350000000005</x:v>
      </x:c>
      <x:c r="C49">
        <x:v>0.73796679544427413</x:v>
      </x:c>
      <x:c r="F49">
        <x:v>3.2916699999999999</x:v>
      </x:c>
      <x:c r="G49">
        <x:v>1.5704499999999999</x:v>
      </x:c>
      <x:c r="H49">
        <x:v>1.581913828116851</x:v>
      </x:c>
      <x:c r="K49">
        <x:v>3.2916699999999999</x:v>
      </x:c>
      <x:c r="L49">
        <x:v>0.83300850000000004</x:v>
      </x:c>
      <x:c r="M49">
        <x:v>0.82659424128569481</x:v>
      </x:c>
    </x:row>
    <x:row r="50">
      <x:c r="A50">
        <x:v>3.375</x:v>
      </x:c>
      <x:c r="B50">
        <x:v>0.77677649999999998</x:v>
      </x:c>
      <x:c r="C50">
        <x:v>0.74894779527026056</x:v>
      </x:c>
      <x:c r="F50">
        <x:v>3.375</x:v>
      </x:c>
      <x:c r="G50">
        <x:v>1.4963199999999999</x:v>
      </x:c>
      <x:c r="H50">
        <x:v>1.5055850094482122</x:v>
      </x:c>
      <x:c r="K50">
        <x:v>3.375</x:v>
      </x:c>
      <x:c r="L50">
        <x:v>0.89549250000000002</x:v>
      </x:c>
      <x:c r="M50">
        <x:v>0.89158334415362139</x:v>
      </x:c>
    </x:row>
    <x:row r="51">
      <x:c r="A51">
        <x:v>3.4583300000000001</x:v>
      </x:c>
      <x:c r="B51">
        <x:v>0.79694050000000005</x:v>
      </x:c>
      <x:c r="C51">
        <x:v>0.77578031747756282</x:v>
      </x:c>
      <x:c r="F51">
        <x:v>3.4583300000000001</x:v>
      </x:c>
      <x:c r="G51">
        <x:v>1.39167</x:v>
      </x:c>
      <x:c r="H51">
        <x:v>1.396904444898009</x:v>
      </x:c>
      <x:c r="K51">
        <x:v>3.4583300000000001</x:v>
      </x:c>
      <x:c r="L51">
        <x:v>0.95994050000000009</x:v>
      </x:c>
      <x:c r="M51">
        <x:v>0.95848329831291623</x:v>
      </x:c>
    </x:row>
    <x:row r="52">
      <x:c r="A52">
        <x:v>3.5416699999999999</x:v>
      </x:c>
      <x:c r="B52">
        <x:v>0.82366000000000006</x:v>
      </x:c>
      <x:c r="C52">
        <x:v>0.80435576950106591</x:v>
      </x:c>
      <x:c r="F52">
        <x:v>3.5416699999999999</x:v>
      </x:c>
      <x:c r="G52">
        <x:v>1.2826249999999999</x:v>
      </x:c>
      <x:c r="H52">
        <x:v>1.2838107093892031</x:v>
      </x:c>
      <x:c r="K52">
        <x:v>3.5416699999999999</x:v>
      </x:c>
      <x:c r="L52">
        <x:v>1.0241549999999999</x:v>
      </x:c>
      <x:c r="M52">
        <x:v>1.0229013456746523</x:v>
      </x:c>
    </x:row>
    <x:row r="53">
      <x:c r="A53">
        <x:v>3.625</x:v>
      </x:c>
      <x:c r="B53">
        <x:v>0.85227900000000001</x:v>
      </x:c>
      <x:c r="C53">
        <x:v>0.83800301941326616</x:v>
      </x:c>
      <x:c r="F53">
        <x:v>3.625</x:v>
      </x:c>
      <x:c r="G53">
        <x:v>1.1821250000000001</x:v>
      </x:c>
      <x:c r="H53">
        <x:v>1.1795488321847596</x:v>
      </x:c>
      <x:c r="K53">
        <x:v>3.625</x:v>
      </x:c>
      <x:c r="L53">
        <x:v>1.0824250000000002</x:v>
      </x:c>
      <x:c r="M53">
        <x:v>1.0851702543151585</x:v>
      </x:c>
    </x:row>
    <x:row r="54">
      <x:c r="A54">
        <x:v>3.7083300000000001</x:v>
      </x:c>
      <x:c r="B54">
        <x:v>0.883853</x:v>
      </x:c>
      <x:c r="C54">
        <x:v>0.87387594001219882</x:v>
      </x:c>
      <x:c r="F54">
        <x:v>3.7083300000000001</x:v>
      </x:c>
      <x:c r="G54">
        <x:v>1.0977250000000001</x:v>
      </x:c>
      <x:c r="H54">
        <x:v>1.0958065512367681</x:v>
      </x:c>
      <x:c r="K54">
        <x:v>3.7083300000000001</x:v>
      </x:c>
      <x:c r="L54">
        <x:v>1.13025</x:v>
      </x:c>
      <x:c r="M54">
        <x:v>1.1334802534825781</x:v>
      </x:c>
    </x:row>
    <x:row r="55">
      <x:c r="A55">
        <x:v>3.7916699999999999</x:v>
      </x:c>
      <x:c r="B55">
        <x:v>0.91626000000000007</x:v>
      </x:c>
      <x:c r="C55">
        <x:v>0.91317780383830438</x:v>
      </x:c>
      <x:c r="F55">
        <x:v>3.7916699999999999</x:v>
      </x:c>
      <x:c r="G55">
        <x:v>1.0379700000000001</x:v>
      </x:c>
      <x:c r="H55">
        <x:v>1.035094306208233</x:v>
      </x:c>
      <x:c r="K55">
        <x:v>3.7916699999999999</x:v>
      </x:c>
      <x:c r="L55">
        <x:v>1.1626449999999999</x:v>
      </x:c>
      <x:c r="M55">
        <x:v>1.1670499672970738</x:v>
      </x:c>
    </x:row>
    <x:row r="56">
      <x:c r="A56">
        <x:v>3.875</x:v>
      </x:c>
      <x:c r="B56">
        <x:v>0.95131399999999999</x:v>
      </x:c>
      <x:c r="C56">
        <x:v>0.94962238518210651</x:v>
      </x:c>
      <x:c r="F56">
        <x:v>3.875</x:v>
      </x:c>
      <x:c r="G56">
        <x:v>1.00176</x:v>
      </x:c>
      <x:c r="H56">
        <x:v>1.0005964033341501</x:v>
      </x:c>
      <x:c r="K56">
        <x:v>3.875</x:v>
      </x:c>
      <x:c r="L56">
        <x:v>1.175975</x:v>
      </x:c>
      <x:c r="M56">
        <x:v>1.1814458759420277</x:v>
      </x:c>
    </x:row>
    <x:row r="57">
      <x:c r="A57">
        <x:v>3.9583300000000001</x:v>
      </x:c>
      <x:c r="B57">
        <x:v>0.98586900000000011</x:v>
      </x:c>
      <x:c r="C57">
        <x:v>0.98735431949490626</x:v>
      </x:c>
      <x:c r="F57">
        <x:v>3.9583300000000001</x:v>
      </x:c>
      <x:c r="G57">
        <x:v>0.98465199999999997</x:v>
      </x:c>
      <x:c r="H57">
        <x:v>0.98547965886977018</x:v>
      </x:c>
      <x:c r="K57">
        <x:v>3.9583300000000001</x:v>
      </x:c>
      <x:c r="L57">
        <x:v>1.16937</x:v>
      </x:c>
      <x:c r="M57">
        <x:v>1.1749095619954661</x:v>
      </x:c>
    </x:row>
    <x:row r="58">
      <x:c r="A58">
        <x:v>4.0416699999999999</x:v>
      </x:c>
      <x:c r="B58">
        <x:v>1.0201150000000001</x:v>
      </x:c>
      <x:c r="C58">
        <x:v>1.0272281669660244</x:v>
      </x:c>
      <x:c r="F58">
        <x:v>4.0416699999999999</x:v>
      </x:c>
      <x:c r="G58">
        <x:v>0.9766785</x:v>
      </x:c>
      <x:c r="H58">
        <x:v>0.97948012695684328</x:v>
      </x:c>
      <x:c r="K58">
        <x:v>4.0416699999999999</x:v>
      </x:c>
      <x:c r="L58">
        <x:v>1.143615</x:v>
      </x:c>
      <x:c r="M58">
        <x:v>1.1468289225728301</x:v>
      </x:c>
    </x:row>
    <x:row r="59">
      <x:c r="A59">
        <x:v>4.125</x:v>
      </x:c>
      <x:c r="B59">
        <x:v>1.05274</x:v>
      </x:c>
      <x:c r="C59">
        <x:v>1.0616610421159631</x:v>
      </x:c>
      <x:c r="F59">
        <x:v>4.125</x:v>
      </x:c>
      <x:c r="G59">
        <x:v>0.97371699999999994</x:v>
      </x:c>
      <x:c r="H59">
        <x:v>0.97551129943124348</x:v>
      </x:c>
      <x:c r="K59">
        <x:v>4.125</x:v>
      </x:c>
      <x:c r="L59">
        <x:v>1.1090200000000001</x:v>
      </x:c>
      <x:c r="M59">
        <x:v>1.1110594697519041</x:v>
      </x:c>
    </x:row>
    <x:row r="60">
      <x:c r="A60">
        <x:v>4.2083300000000001</x:v>
      </x:c>
      <x:c r="B60">
        <x:v>1.082155</x:v>
      </x:c>
      <x:c r="C60">
        <x:v>1.0959972599801013</x:v>
      </x:c>
      <x:c r="F60">
        <x:v>4.2083300000000001</x:v>
      </x:c>
      <x:c r="G60">
        <x:v>0.97112600000000004</x:v>
      </x:c>
      <x:c r="H60">
        <x:v>0.97408592129615057</x:v>
      </x:c>
      <x:c r="K60">
        <x:v>4.2083300000000001</x:v>
      </x:c>
      <x:c r="L60">
        <x:v>1.0765400000000001</x:v>
      </x:c>
      <x:c r="M60">
        <x:v>1.0780536064940298</x:v>
      </x:c>
    </x:row>
    <x:row r="61">
      <x:c r="A61">
        <x:v>4.2916699999999999</x:v>
      </x:c>
      <x:c r="B61">
        <x:v>1.106805</x:v>
      </x:c>
      <x:c r="C61">
        <x:v>1.1235709484528627</x:v>
      </x:c>
      <x:c r="F61">
        <x:v>4.2916699999999999</x:v>
      </x:c>
      <x:c r="G61">
        <x:v>0.9681495</x:v>
      </x:c>
      <x:c r="H61">
        <x:v>0.970142694320831</x:v>
      </x:c>
      <x:c r="K61">
        <x:v>4.2916699999999999</x:v>
      </x:c>
      <x:c r="L61">
        <x:v>1.0535299999999999</x:v>
      </x:c>
      <x:c r="M61">
        <x:v>1.054394040179492</x:v>
      </x:c>
    </x:row>
    <x:row r="62">
      <x:c r="A62">
        <x:v>4.375</x:v>
      </x:c>
      <x:c r="B62">
        <x:v>1.122865</x:v>
      </x:c>
      <x:c r="C62">
        <x:v>1.1420365068103602</x:v>
      </x:c>
      <x:c r="F62">
        <x:v>4.375</x:v>
      </x:c>
      <x:c r="G62">
        <x:v>0.96479499999999996</x:v>
      </x:c>
      <x:c r="H62">
        <x:v>0.96576072479260666</x:v>
      </x:c>
      <x:c r="K62">
        <x:v>4.375</x:v>
      </x:c>
      <x:c r="L62">
        <x:v>1.040165</x:v>
      </x:c>
      <x:c r="M62">
        <x:v>1.0421784073503724</x:v>
      </x:c>
    </x:row>
    <x:row r="63">
      <x:c r="A63">
        <x:v>4.4583300000000001</x:v>
      </x:c>
      <x:c r="B63">
        <x:v>1.131165</x:v>
      </x:c>
      <x:c r="C63">
        <x:v>1.1512077732012742</x:v>
      </x:c>
      <x:c r="F63">
        <x:v>4.4583300000000001</x:v>
      </x:c>
      <x:c r="G63">
        <x:v>0.96050900000000006</x:v>
      </x:c>
      <x:c r="H63">
        <x:v>0.96220842380590765</x:v>
      </x:c>
      <x:c r="K63">
        <x:v>4.4583300000000001</x:v>
      </x:c>
      <x:c r="L63">
        <x:v>1.03308</x:v>
      </x:c>
      <x:c r="M63">
        <x:v>1.0368181033796231</x:v>
      </x:c>
    </x:row>
    <x:row r="64">
      <x:c r="A64">
        <x:v>4.5416699999999999</x:v>
      </x:c>
      <x:c r="B64">
        <x:v>1.13158</x:v>
      </x:c>
      <x:c r="C64">
        <x:v>1.1509850430239519</x:v>
      </x:c>
      <x:c r="F64">
        <x:v>4.5416699999999999</x:v>
      </x:c>
      <x:c r="G64">
        <x:v>0.95782349999999994</x:v>
      </x:c>
      <x:c r="H64">
        <x:v>0.95845360270140878</x:v>
      </x:c>
      <x:c r="K64">
        <x:v>4.5416699999999999</x:v>
      </x:c>
      <x:c r="L64">
        <x:v>1.029825</x:v>
      </x:c>
      <x:c r="M64">
        <x:v>1.033175728564085</x:v>
      </x:c>
    </x:row>
    <x:row r="65">
      <x:c r="A65">
        <x:v>4.625</x:v>
      </x:c>
      <x:c r="B65">
        <x:v>1.1241050000000001</x:v>
      </x:c>
      <x:c r="C65">
        <x:v>1.1445761490468696</x:v>
      </x:c>
      <x:c r="F65">
        <x:v>4.625</x:v>
      </x:c>
      <x:c r="G65">
        <x:v>0.957785</x:v>
      </x:c>
      <x:c r="H65">
        <x:v>0.95875859042852407</x:v>
      </x:c>
      <x:c r="K65">
        <x:v>4.625</x:v>
      </x:c>
      <x:c r="L65">
        <x:v>1.0261</x:v>
      </x:c>
      <x:c r="M65">
        <x:v>1.0294565199308015</x:v>
      </x:c>
    </x:row>
    <x:row r="66">
      <x:c r="A66">
        <x:v>4.7083300000000001</x:v>
      </x:c>
      <x:c r="B66">
        <x:v>1.111605</x:v>
      </x:c>
      <x:c r="C66">
        <x:v>1.1260590775775992</x:v>
      </x:c>
      <x:c r="F66">
        <x:v>4.7083300000000001</x:v>
      </x:c>
      <x:c r="G66">
        <x:v>0.96126749999999994</x:v>
      </x:c>
      <x:c r="H66">
        <x:v>0.96114151624257194</x:v>
      </x:c>
      <x:c r="K66">
        <x:v>4.7083300000000001</x:v>
      </x:c>
      <x:c r="L66">
        <x:v>1.021055</x:v>
      </x:c>
      <x:c r="M66">
        <x:v>1.0246614500305189</x:v>
      </x:c>
    </x:row>
    <x:row r="67">
      <x:c r="A67">
        <x:v>4.7916699999999999</x:v>
      </x:c>
      <x:c r="B67">
        <x:v>1.092025</x:v>
      </x:c>
      <x:c r="C67">
        <x:v>1.1071252236666114</x:v>
      </x:c>
      <x:c r="F67">
        <x:v>4.7916699999999999</x:v>
      </x:c>
      <x:c r="G67">
        <x:v>0.96756449999999994</x:v>
      </x:c>
      <x:c r="H67">
        <x:v>0.96828147289008393</x:v>
      </x:c>
      <x:c r="K67">
        <x:v>4.7916699999999999</x:v>
      </x:c>
      <x:c r="L67">
        <x:v>1.0132950000000001</x:v>
      </x:c>
      <x:c r="M67">
        <x:v>1.0161739482744825</x:v>
      </x:c>
    </x:row>
    <x:row r="68">
      <x:c r="A68">
        <x:v>4.875</x:v>
      </x:c>
      <x:c r="B68">
        <x:v>1.06976</x:v>
      </x:c>
      <x:c r="C68">
        <x:v>1.0816098555690341</x:v>
      </x:c>
      <x:c r="F68">
        <x:v>4.875</x:v>
      </x:c>
      <x:c r="G68">
        <x:v>0.9768985</x:v>
      </x:c>
      <x:c r="H68">
        <x:v>0.97731014485337331</x:v>
      </x:c>
      <x:c r="K68">
        <x:v>4.875</x:v>
      </x:c>
      <x:c r="L68">
        <x:v>1.0030800000000002</x:v>
      </x:c>
      <x:c r="M68">
        <x:v>1.0058914375930803</x:v>
      </x:c>
    </x:row>
    <x:row r="69">
      <x:c r="A69">
        <x:v>4.9583300000000001</x:v>
      </x:c>
      <x:c r="B69">
        <x:v>1.0453349999999999</x:v>
      </x:c>
      <x:c r="C69">
        <x:v>1.0536121570404224</x:v>
      </x:c>
      <x:c r="F69">
        <x:v>4.9583300000000001</x:v>
      </x:c>
      <x:c r="G69">
        <x:v>0.98725399999999996</x:v>
      </x:c>
      <x:c r="H69">
        <x:v>0.98939277708159523</x:v>
      </x:c>
      <x:c r="K69">
        <x:v>4.9583300000000001</x:v>
      </x:c>
      <x:c r="L69">
        <x:v>0.99227799999999999</x:v>
      </x:c>
      <x:c r="M69">
        <x:v>0.99367144039657063</x:v>
      </x:c>
    </x:row>
    <x:row r="70">
      <x:c r="A70">
        <x:v>5.0416699999999999</x:v>
      </x:c>
      <x:c r="B70">
        <x:v>1.0201750000000001</x:v>
      </x:c>
      <x:c r="C70">
        <x:v>1.0260436106838287</x:v>
      </x:c>
      <x:c r="F70">
        <x:v>5.0416699999999999</x:v>
      </x:c>
      <x:c r="G70">
        <x:v>0.99783149999999998</x:v>
      </x:c>
      <x:c r="H70">
        <x:v>1.0000502088015559</x:v>
      </x:c>
      <x:c r="K70">
        <x:v>5.0416699999999999</x:v>
      </x:c>
      <x:c r="L70">
        <x:v>0.9812145000000001</x:v>
      </x:c>
      <x:c r="M70">
        <x:v>0.98182242415756993</x:v>
      </x:c>
    </x:row>
    <x:row r="71">
      <x:c r="A71">
        <x:v>5.125</x:v>
      </x:c>
      <x:c r="B71">
        <x:v>0.99590999999999996</x:v>
      </x:c>
      <x:c r="C71">
        <x:v>0.99601419267549085</x:v>
      </x:c>
      <x:c r="F71">
        <x:v>5.125</x:v>
      </x:c>
      <x:c r="G71">
        <x:v>1.0076700000000001</x:v>
      </x:c>
      <x:c r="H71">
        <x:v>1.01047711204392</x:v>
      </x:c>
      <x:c r="K71">
        <x:v>5.125</x:v>
      </x:c>
      <x:c r="L71">
        <x:v>0.97116049999999998</x:v>
      </x:c>
      <x:c r="M71">
        <x:v>0.9714080385906867</x:v>
      </x:c>
    </x:row>
    <x:row r="72">
      <x:c r="A72">
        <x:v>5.2083300000000001</x:v>
      </x:c>
      <x:c r="B72">
        <x:v>0.97165449999999998</x:v>
      </x:c>
      <x:c r="C72">
        <x:v>0.96939588538486099</x:v>
      </x:c>
      <x:c r="F72">
        <x:v>5.2083300000000001</x:v>
      </x:c>
      <x:c r="G72">
        <x:v>1.0154450000000002</x:v>
      </x:c>
      <x:c r="H72">
        <x:v>1.0194129694470053</x:v>
      </x:c>
      <x:c r="K72">
        <x:v>5.2083300000000001</x:v>
      </x:c>
      <x:c r="L72">
        <x:v>0.96382100000000004</x:v>
      </x:c>
      <x:c r="M72">
        <x:v>0.96432025363623419</x:v>
      </x:c>
    </x:row>
    <x:row r="73">
      <x:c r="A73">
        <x:v>5.2916699999999999</x:v>
      </x:c>
      <x:c r="B73">
        <x:v>0.94793649999999996</x:v>
      </x:c>
      <x:c r="C73">
        <x:v>0.9406304138323478</x:v>
      </x:c>
      <x:c r="F73">
        <x:v>5.2916699999999999</x:v>
      </x:c>
      <x:c r="G73">
        <x:v>1.0208949999999999</x:v>
      </x:c>
      <x:c r="H73">
        <x:v>1.0239096624508339</x:v>
      </x:c>
      <x:c r="K73">
        <x:v>5.2916699999999999</x:v>
      </x:c>
      <x:c r="L73">
        <x:v>0.9586865</x:v>
      </x:c>
      <x:c r="M73">
        <x:v>0.95821283436440363</x:v>
      </x:c>
    </x:row>
    <x:row r="74">
      <x:c r="A74">
        <x:v>5.375</x:v>
      </x:c>
      <x:c r="B74">
        <x:v>0.92618599999999995</x:v>
      </x:c>
      <x:c r="C74">
        <x:v>0.91800983384819412</x:v>
      </x:c>
      <x:c r="F74">
        <x:v>5.375</x:v>
      </x:c>
      <x:c r="G74">
        <x:v>1.0235650000000001</x:v>
      </x:c>
      <x:c r="H74">
        <x:v>1.0269780743380097</x:v>
      </x:c>
      <x:c r="K74">
        <x:v>5.375</x:v>
      </x:c>
      <x:c r="L74">
        <x:v>0.95696099999999995</x:v>
      </x:c>
      <x:c r="M74">
        <x:v>0.95658953037172401</x:v>
      </x:c>
    </x:row>
    <x:row r="75">
      <x:c r="A75">
        <x:v>5.4583300000000001</x:v>
      </x:c>
      <x:c r="B75">
        <x:v>0.90794200000000003</x:v>
      </x:c>
      <x:c r="C75">
        <x:v>0.89603310313851003</x:v>
      </x:c>
      <x:c r="F75">
        <x:v>5.4583300000000001</x:v>
      </x:c>
      <x:c r="G75">
        <x:v>1.023045</x:v>
      </x:c>
      <x:c r="H75">
        <x:v>1.0256653231594361</x:v>
      </x:c>
      <x:c r="K75">
        <x:v>5.4583300000000001</x:v>
      </x:c>
      <x:c r="L75">
        <x:v>0.95827249999999997</x:v>
      </x:c>
      <x:c r="M75">
        <x:v>0.95711624521803218</x:v>
      </x:c>
    </x:row>
    <x:row r="76">
      <x:c r="A76">
        <x:v>5.5416699999999999</x:v>
      </x:c>
      <x:c r="B76">
        <x:v>0.89448250000000007</x:v>
      </x:c>
      <x:c r="C76">
        <x:v>0.88075192926205037</x:v>
      </x:c>
      <x:c r="F76">
        <x:v>5.5416699999999999</x:v>
      </x:c>
      <x:c r="G76">
        <x:v>1.019495</x:v>
      </x:c>
      <x:c r="H76">
        <x:v>1.0217513614026863</x:v>
      </x:c>
      <x:c r="K76">
        <x:v>5.5416699999999999</x:v>
      </x:c>
      <x:c r="L76">
        <x:v>0.96233849999999999</x:v>
      </x:c>
      <x:c r="M76">
        <x:v>0.96094423758507863</x:v>
      </x:c>
    </x:row>
    <x:row r="77">
      <x:c r="A77">
        <x:v>5.625</x:v>
      </x:c>
      <x:c r="B77">
        <x:v>0.8882565</x:v>
      </x:c>
      <x:c r="C77">
        <x:v>0.87279420876857927</x:v>
      </x:c>
      <x:c r="F77">
        <x:v>5.625</x:v>
      </x:c>
      <x:c r="G77">
        <x:v>1.01329</x:v>
      </x:c>
      <x:c r="H77">
        <x:v>1.0147853591299685</x:v>
      </x:c>
      <x:c r="K77">
        <x:v>5.625</x:v>
      </x:c>
      <x:c r="L77">
        <x:v>0.96828950000000003</x:v>
      </x:c>
      <x:c r="M77">
        <x:v>0.96764829668946972</x:v>
      </x:c>
    </x:row>
    <x:row r="78">
      <x:c r="A78">
        <x:v>5.7083300000000001</x:v>
      </x:c>
      <x:c r="B78">
        <x:v>0.89026899999999998</x:v>
      </x:c>
      <x:c r="C78">
        <x:v>0.87581757641580127</x:v>
      </x:c>
      <x:c r="F78">
        <x:v>5.7083300000000001</x:v>
      </x:c>
      <x:c r="G78">
        <x:v>1.0051049999999999</x:v>
      </x:c>
      <x:c r="H78">
        <x:v>1.0054078013559782</x:v>
      </x:c>
      <x:c r="K78">
        <x:v>5.7083300000000001</x:v>
      </x:c>
      <x:c r="L78">
        <x:v>0.97583200000000003</x:v>
      </x:c>
      <x:c r="M78">
        <x:v>0.97549872378208091</x:v>
      </x:c>
    </x:row>
    <x:row r="79">
      <x:c r="A79">
        <x:v>5.7916699999999999</x:v>
      </x:c>
      <x:c r="B79">
        <x:v>0.89797299999999991</x:v>
      </x:c>
      <x:c r="C79">
        <x:v>0.88375398561278162</x:v>
      </x:c>
      <x:c r="F79">
        <x:v>5.7916699999999999</x:v>
      </x:c>
      <x:c r="G79">
        <x:v>0.99552799999999997</x:v>
      </x:c>
      <x:c r="H79">
        <x:v>0.99455222468320281</x:v>
      </x:c>
      <x:c r="K79">
        <x:v>5.7916699999999999</x:v>
      </x:c>
      <x:c r="L79">
        <x:v>0.98368450000000007</x:v>
      </x:c>
      <x:c r="M79">
        <x:v>0.98239021212746769</x:v>
      </x:c>
    </x:row>
    <x:row r="80">
      <x:c r="A80">
        <x:v>5.875</x:v>
      </x:c>
      <x:c r="B80">
        <x:v>0.91198950000000001</x:v>
      </x:c>
      <x:c r="C80">
        <x:v>0.89863038565875542</x:v>
      </x:c>
      <x:c r="F80">
        <x:v>5.875</x:v>
      </x:c>
      <x:c r="G80">
        <x:v>0.98535899999999998</x:v>
      </x:c>
      <x:c r="H80">
        <x:v>0.98435138837437508</x:v>
      </x:c>
      <x:c r="K80">
        <x:v>5.875</x:v>
      </x:c>
      <x:c r="L80">
        <x:v>0.99071949999999998</x:v>
      </x:c>
      <x:c r="M80">
        <x:v>0.98922153129515467</x:v>
      </x:c>
    </x:row>
    <x:row r="81">
      <x:c r="A81">
        <x:v>5.9583300000000001</x:v>
      </x:c>
      <x:c r="B81">
        <x:v>0.92907300000000004</x:v>
      </x:c>
      <x:c r="C81">
        <x:v>0.91910199026546668</x:v>
      </x:c>
      <x:c r="F81">
        <x:v>5.9583300000000001</x:v>
      </x:c>
      <x:c r="G81">
        <x:v>0.9762885</x:v>
      </x:c>
      <x:c r="H81">
        <x:v>0.97432519619894287</x:v>
      </x:c>
      <x:c r="K81">
        <x:v>5.9583300000000001</x:v>
      </x:c>
      <x:c r="L81">
        <x:v>0.99684799999999996</x:v>
      </x:c>
      <x:c r="M81">
        <x:v>0.99382523411639856</x:v>
      </x:c>
    </x:row>
    <x:row r="82">
      <x:c r="A82">
        <x:v>6.0416699999999999</x:v>
      </x:c>
      <x:c r="B82">
        <x:v>0.94770799999999999</x:v>
      </x:c>
      <x:c r="C82">
        <x:v>0.94059435843553096</x:v>
      </x:c>
      <x:c r="F82">
        <x:v>6.0416699999999999</x:v>
      </x:c>
      <x:c r="G82">
        <x:v>0.96881250000000008</x:v>
      </x:c>
      <x:c r="H82">
        <x:v>0.96565036489651923</x:v>
      </x:c>
      <x:c r="K82">
        <x:v>6.0416699999999999</x:v>
      </x:c>
      <x:c r="L82">
        <x:v>1.00143</x:v>
      </x:c>
      <x:c r="M82">
        <x:v>0.99925511263563638</x:v>
      </x:c>
    </x:row>
    <x:row r="83">
      <x:c r="A83">
        <x:v>6.125</x:v>
      </x:c>
      <x:c r="B83">
        <x:v>0.96606199999999998</x:v>
      </x:c>
      <x:c r="C83">
        <x:v>0.95979374685986596</x:v>
      </x:c>
      <x:c r="F83">
        <x:v>6.125</x:v>
      </x:c>
      <x:c r="G83">
        <x:v>0.96370449999999996</x:v>
      </x:c>
      <x:c r="H83">
        <x:v>0.9600063725364929</x:v>
      </x:c>
      <x:c r="K83">
        <x:v>6.125</x:v>
      </x:c>
      <x:c r="L83">
        <x:v>1.0045000000000002</x:v>
      </x:c>
      <x:c r="M83">
        <x:v>1.0022867701391172</x:v>
      </x:c>
    </x:row>
    <x:row r="84">
      <x:c r="A84">
        <x:v>6.2083300000000001</x:v>
      </x:c>
      <x:c r="B84">
        <x:v>0.98305949999999998</x:v>
      </x:c>
      <x:c r="C84">
        <x:v>0.9818450645372041</x:v>
      </x:c>
      <x:c r="F84">
        <x:v>6.2083300000000001</x:v>
      </x:c>
      <x:c r="G84">
        <x:v>0.96173649999999999</x:v>
      </x:c>
      <x:c r="H84">
        <x:v>0.95755794414021311</x:v>
      </x:c>
      <x:c r="K84">
        <x:v>6.2083300000000001</x:v>
      </x:c>
      <x:c r="L84">
        <x:v>1.0054799999999999</x:v>
      </x:c>
      <x:c r="M84">
        <x:v>1.0023586119510335</x:v>
      </x:c>
    </x:row>
    <x:row r="85">
      <x:c r="A85">
        <x:v>6.2916699999999999</x:v>
      </x:c>
      <x:c r="B85">
        <x:v>0.99931600000000009</x:v>
      </x:c>
      <x:c r="C85">
        <x:v>1.0011233419888952</x:v>
      </x:c>
      <x:c r="F85">
        <x:v>6.2916699999999999</x:v>
      </x:c>
      <x:c r="G85">
        <x:v>0.96254949999999995</x:v>
      </x:c>
      <x:c r="H85">
        <x:v>0.95870705334296913</x:v>
      </x:c>
      <x:c r="K85">
        <x:v>6.2916699999999999</x:v>
      </x:c>
      <x:c r="L85">
        <x:v>1.004985</x:v>
      </x:c>
      <x:c r="M85">
        <x:v>1.0024738284926213</x:v>
      </x:c>
    </x:row>
    <x:row r="86">
      <x:c r="A86">
        <x:v>6.375</x:v>
      </x:c>
      <x:c r="B86">
        <x:v>1.0136449999999999</x:v>
      </x:c>
      <x:c r="C86">
        <x:v>1.0168109724132934</x:v>
      </x:c>
      <x:c r="F86">
        <x:v>6.375</x:v>
      </x:c>
      <x:c r="G86">
        <x:v>0.96557899999999997</x:v>
      </x:c>
      <x:c r="H86">
        <x:v>0.96143597637781497</x:v>
      </x:c>
      <x:c r="K86">
        <x:v>6.375</x:v>
      </x:c>
      <x:c r="L86">
        <x:v>1.00359</x:v>
      </x:c>
      <x:c r="M86">
        <x:v>1.001354124387712</x:v>
      </x:c>
    </x:row>
    <x:row r="87">
      <x:c r="A87">
        <x:v>6.4583300000000001</x:v>
      </x:c>
      <x:c r="B87">
        <x:v>1.0258699999999998</x:v>
      </x:c>
      <x:c r="C87">
        <x:v>1.0309039676869045</x:v>
      </x:c>
      <x:c r="F87">
        <x:v>6.4583300000000001</x:v>
      </x:c>
      <x:c r="G87">
        <x:v>0.97072350000000007</x:v>
      </x:c>
      <x:c r="H87">
        <x:v>0.96557974544207126</x:v>
      </x:c>
      <x:c r="K87">
        <x:v>6.4583300000000001</x:v>
      </x:c>
      <x:c r="L87">
        <x:v>1.001625</x:v>
      </x:c>
      <x:c r="M87">
        <x:v>1.0001191480622607</x:v>
      </x:c>
    </x:row>
    <x:row r="88">
      <x:c r="A88">
        <x:v>6.5416699999999999</x:v>
      </x:c>
      <x:c r="B88">
        <x:v>1.035755</x:v>
      </x:c>
      <x:c r="C88">
        <x:v>1.0416138755790265</x:v>
      </x:c>
      <x:c r="F88">
        <x:v>6.5416699999999999</x:v>
      </x:c>
      <x:c r="G88">
        <x:v>0.97672899999999996</x:v>
      </x:c>
      <x:c r="H88">
        <x:v>0.97243216879195971</x:v>
      </x:c>
      <x:c r="K88">
        <x:v>6.5416699999999999</x:v>
      </x:c>
      <x:c r="L88">
        <x:v>0.99984200000000001</x:v>
      </x:c>
      <x:c r="M88">
        <x:v>0.99845500802224474</x:v>
      </x:c>
    </x:row>
    <x:row r="89">
      <x:c r="A89">
        <x:v>6.625</x:v>
      </x:c>
      <x:c r="B89">
        <x:v>1.0425200000000001</x:v>
      </x:c>
      <x:c r="C89">
        <x:v>1.0499558962492292</x:v>
      </x:c>
      <x:c r="F89">
        <x:v>6.625</x:v>
      </x:c>
      <x:c r="G89">
        <x:v>0.98351999999999995</x:v>
      </x:c>
      <x:c r="H89">
        <x:v>0.97936350738239797</x:v>
      </x:c>
      <x:c r="K89">
        <x:v>6.625</x:v>
      </x:c>
      <x:c r="L89">
        <x:v>0.99812900000000004</x:v>
      </x:c>
      <x:c r="M89">
        <x:v>0.99745330914696906</x:v>
      </x:c>
    </x:row>
    <x:row r="90">
      <x:c r="A90">
        <x:v>6.7083300000000001</x:v>
      </x:c>
      <x:c r="B90">
        <x:v>1.0475300000000001</x:v>
      </x:c>
      <x:c r="C90">
        <x:v>1.0564961437264959</x:v>
      </x:c>
      <x:c r="F90">
        <x:v>6.7083300000000001</x:v>
      </x:c>
      <x:c r="G90">
        <x:v>0.99066049999999994</x:v>
      </x:c>
      <x:c r="H90">
        <x:v>0.98818508169254549</x:v>
      </x:c>
      <x:c r="K90">
        <x:v>6.7083300000000001</x:v>
      </x:c>
      <x:c r="L90">
        <x:v>0.99699950000000004</x:v>
      </x:c>
      <x:c r="M90">
        <x:v>0.99720485689321381</x:v>
      </x:c>
    </x:row>
    <x:row r="91">
      <x:c r="A91">
        <x:v>6.7916699999999999</x:v>
      </x:c>
      <x:c r="B91">
        <x:v>1.049655</x:v>
      </x:c>
      <x:c r="C91">
        <x:v>1.0581516675689802</x:v>
      </x:c>
      <x:c r="F91">
        <x:v>6.7916699999999999</x:v>
      </x:c>
      <x:c r="G91">
        <x:v>0.99791849999999993</x:v>
      </x:c>
      <x:c r="H91">
        <x:v>0.99496246961740553</x:v>
      </x:c>
      <x:c r="K91">
        <x:v>6.7916699999999999</x:v>
      </x:c>
      <x:c r="L91">
        <x:v>0.99707299999999999</x:v>
      </x:c>
      <x:c r="M91">
        <x:v>0.99622607433592758</x:v>
      </x:c>
    </x:row>
    <x:row r="92">
      <x:c r="A92">
        <x:v>6.875</x:v>
      </x:c>
      <x:c r="B92">
        <x:v>1.0497749999999999</x:v>
      </x:c>
      <x:c r="C92">
        <x:v>1.0576950163493515</x:v>
      </x:c>
      <x:c r="F92">
        <x:v>6.875</x:v>
      </x:c>
      <x:c r="G92">
        <x:v>1.0045350000000002</x:v>
      </x:c>
      <x:c r="H92">
        <x:v>1.0023705524639381</x:v>
      </x:c>
      <x:c r="K92">
        <x:v>6.875</x:v>
      </x:c>
      <x:c r="L92">
        <x:v>0.99686049999999993</x:v>
      </x:c>
      <x:c r="M92">
        <x:v>0.99756570452460303</x:v>
      </x:c>
    </x:row>
    <x:row r="93">
      <x:c r="A93">
        <x:v>6.9583300000000001</x:v>
      </x:c>
      <x:c r="B93">
        <x:v>1.0474600000000001</x:v>
      </x:c>
      <x:c r="C93">
        <x:v>1.0541681426173086</x:v>
      </x:c>
      <x:c r="F93">
        <x:v>6.9583300000000001</x:v>
      </x:c>
      <x:c r="G93">
        <x:v>1.01061</x:v>
      </x:c>
      <x:c r="H93">
        <x:v>1.0096570399537561</x:v>
      </x:c>
      <x:c r="K93">
        <x:v>6.9583300000000001</x:v>
      </x:c>
      <x:c r="L93">
        <x:v>0.99768950000000001</x:v>
      </x:c>
      <x:c r="M93">
        <x:v>0.99861796087982924</x:v>
      </x:c>
    </x:row>
    <x:row r="94">
      <x:c r="A94">
        <x:v>7.0416699999999999</x:v>
      </x:c>
      <x:c r="B94">
        <x:v>1.0425500000000001</x:v>
      </x:c>
      <x:c r="C94">
        <x:v>1.0473808444111665</x:v>
      </x:c>
      <x:c r="F94">
        <x:v>7.0416699999999999</x:v>
      </x:c>
      <x:c r="G94">
        <x:v>1.01562</x:v>
      </x:c>
      <x:c r="H94">
        <x:v>1.0141505433082723</x:v>
      </x:c>
      <x:c r="K94">
        <x:v>7.0416699999999999</x:v>
      </x:c>
      <x:c r="L94">
        <x:v>0.99875549999999991</x:v>
      </x:c>
      <x:c r="M94">
        <x:v>1.0006358474153083</x:v>
      </x:c>
    </x:row>
    <x:row r="95">
      <x:c r="A95">
        <x:v>7.125</x:v>
      </x:c>
      <x:c r="B95">
        <x:v>1.03664</x:v>
      </x:c>
      <x:c r="C95">
        <x:v>1.039167627665557</x:v>
      </x:c>
      <x:c r="F95">
        <x:v>7.125</x:v>
      </x:c>
      <x:c r="G95">
        <x:v>1.019685</x:v>
      </x:c>
      <x:c r="H95">
        <x:v>1.0205735580984905</x:v>
      </x:c>
      <x:c r="K95">
        <x:v>7.125</x:v>
      </x:c>
      <x:c r="L95">
        <x:v>1.0001250000000002</x:v>
      </x:c>
      <x:c r="M95">
        <x:v>1.0011224749375656</x:v>
      </x:c>
    </x:row>
    <x:row r="96">
      <x:c r="A96">
        <x:v>7.2083300000000001</x:v>
      </x:c>
      <x:c r="B96">
        <x:v>1.029525</x:v>
      </x:c>
      <x:c r="C96">
        <x:v>1.0309417691721043</x:v>
      </x:c>
      <x:c r="F96">
        <x:v>7.2083300000000001</x:v>
      </x:c>
      <x:c r="G96">
        <x:v>1.0228299999999999</x:v>
      </x:c>
      <x:c r="H96">
        <x:v>1.0237124581650914</x:v>
      </x:c>
      <x:c r="K96">
        <x:v>7.2083300000000001</x:v>
      </x:c>
      <x:c r="L96">
        <x:v>1.001455</x:v>
      </x:c>
      <x:c r="M96">
        <x:v>1.0027318439707016</x:v>
      </x:c>
    </x:row>
    <x:row r="97">
      <x:c r="A97">
        <x:v>7.2916699999999999</x:v>
      </x:c>
      <x:c r="B97">
        <x:v>1.0224</x:v>
      </x:c>
      <x:c r="C97">
        <x:v>1.0221252431597352</x:v>
      </x:c>
      <x:c r="F97">
        <x:v>7.2916699999999999</x:v>
      </x:c>
      <x:c r="G97">
        <x:v>1.024885</x:v>
      </x:c>
      <x:c r="H97">
        <x:v>1.0268657328189856</x:v>
      </x:c>
      <x:c r="K97">
        <x:v>7.2916699999999999</x:v>
      </x:c>
      <x:c r="L97">
        <x:v>1.0026250000000001</x:v>
      </x:c>
      <x:c r="M97">
        <x:v>1.0034718375926337</x:v>
      </x:c>
    </x:row>
    <x:row r="98">
      <x:c r="A98">
        <x:v>7.375</x:v>
      </x:c>
      <x:c r="B98">
        <x:v>1.0144150000000001</x:v>
      </x:c>
      <x:c r="C98">
        <x:v>1.0121868591242249</x:v>
      </x:c>
      <x:c r="F98">
        <x:v>7.375</x:v>
      </x:c>
      <x:c r="G98">
        <x:v>1.0257749999999999</x:v>
      </x:c>
      <x:c r="H98">
        <x:v>1.0285009264101754</x:v>
      </x:c>
      <x:c r="K98">
        <x:v>7.375</x:v>
      </x:c>
      <x:c r="L98">
        <x:v>1.00373</x:v>
      </x:c>
      <x:c r="M98">
        <x:v>1.0048312995053668</x:v>
      </x:c>
    </x:row>
    <x:row r="99">
      <x:c r="A99">
        <x:v>7.4583300000000001</x:v>
      </x:c>
      <x:c r="B99">
        <x:v>1.0066200000000001</x:v>
      </x:c>
      <x:c r="C99">
        <x:v>1.0039609048157425</x:v>
      </x:c>
      <x:c r="F99">
        <x:v>7.4583300000000001</x:v>
      </x:c>
      <x:c r="G99">
        <x:v>1.0255749999999999</x:v>
      </x:c>
      <x:c r="H99">
        <x:v>1.0281875934540154</x:v>
      </x:c>
      <x:c r="K99">
        <x:v>7.4583300000000001</x:v>
      </x:c>
      <x:c r="L99">
        <x:v>1.0049699999999999</x:v>
      </x:c>
      <x:c r="M99">
        <x:v>1.0052572276162548</x:v>
      </x:c>
    </x:row>
    <x:row r="100">
      <x:c r="A100">
        <x:v>7.5416699999999999</x:v>
      </x:c>
      <x:c r="B100">
        <x:v>1.00058</x:v>
      </x:c>
      <x:c r="C100">
        <x:v>0.99760796683093045</x:v>
      </x:c>
      <x:c r="F100">
        <x:v>7.5416699999999999</x:v>
      </x:c>
      <x:c r="G100">
        <x:v>1.0242800000000001</x:v>
      </x:c>
      <x:c r="H100">
        <x:v>1.0276859247105745</x:v>
      </x:c>
      <x:c r="K100">
        <x:v>7.5416699999999999</x:v>
      </x:c>
      <x:c r="L100">
        <x:v>1.00583</x:v>
      </x:c>
      <x:c r="M100">
        <x:v>1.0068969027997214</x:v>
      </x:c>
    </x:row>
    <x:row r="101">
      <x:c r="A101">
        <x:v>7.625</x:v>
      </x:c>
      <x:c r="B101">
        <x:v>0.99494900000000008</x:v>
      </x:c>
      <x:c r="C101">
        <x:v>0.99115598490077583</x:v>
      </x:c>
      <x:c r="F101">
        <x:v>7.625</x:v>
      </x:c>
      <x:c r="G101">
        <x:v>1.0219849999999999</x:v>
      </x:c>
      <x:c r="H101">
        <x:v>1.0262250899049818</x:v>
      </x:c>
      <x:c r="K101">
        <x:v>7.625</x:v>
      </x:c>
      <x:c r="L101">
        <x:v>1.0067599999999999</x:v>
      </x:c>
      <x:c r="M101">
        <x:v>1.0076711664428406</x:v>
      </x:c>
    </x:row>
    <x:row r="102">
      <x:c r="A102">
        <x:v>7.7083300000000001</x:v>
      </x:c>
      <x:c r="B102">
        <x:v>0.9911589999999999</x:v>
      </x:c>
      <x:c r="C102">
        <x:v>0.98639955559038284</x:v>
      </x:c>
      <x:c r="F102">
        <x:v>7.7083300000000001</x:v>
      </x:c>
      <x:c r="G102">
        <x:v>1.018815</x:v>
      </x:c>
      <x:c r="H102">
        <x:v>1.0217757118606576</x:v>
      </x:c>
      <x:c r="K102">
        <x:v>7.7083300000000001</x:v>
      </x:c>
      <x:c r="L102">
        <x:v>1.0074000000000001</x:v>
      </x:c>
      <x:c r="M102">
        <x:v>1.007936363078094</x:v>
      </x:c>
    </x:row>
    <x:row r="103">
      <x:c r="A103">
        <x:v>7.7916699999999999</x:v>
      </x:c>
      <x:c r="B103">
        <x:v>0.98783500000000002</x:v>
      </x:c>
      <x:c r="C103">
        <x:v>0.98241378222964393</x:v>
      </x:c>
      <x:c r="F103">
        <x:v>7.7916699999999999</x:v>
      </x:c>
      <x:c r="G103">
        <x:v>1.015115</x:v>
      </x:c>
      <x:c r="H103">
        <x:v>1.018322285180028</x:v>
      </x:c>
      <x:c r="K103">
        <x:v>7.7916699999999999</x:v>
      </x:c>
      <x:c r="L103">
        <x:v>1.0078049999999998</x:v>
      </x:c>
      <x:c r="M103">
        <x:v>1.0082453056932561</x:v>
      </x:c>
    </x:row>
    <x:row r="104">
      <x:c r="A104">
        <x:v>7.875</x:v>
      </x:c>
      <x:c r="B104">
        <x:v>0.98589400000000005</x:v>
      </x:c>
      <x:c r="C104">
        <x:v>0.98073603154684386</x:v>
      </x:c>
      <x:c r="F104">
        <x:v>7.875</x:v>
      </x:c>
      <x:c r="G104">
        <x:v>1.0105949999999999</x:v>
      </x:c>
      <x:c r="H104">
        <x:v>1.0139262435789953</x:v>
      </x:c>
      <x:c r="K104">
        <x:v>7.875</x:v>
      </x:c>
      <x:c r="L104">
        <x:v>1.00831</x:v>
      </x:c>
      <x:c r="M104">
        <x:v>1.0082735333532586</x:v>
      </x:c>
    </x:row>
    <x:row r="105">
      <x:c r="A105">
        <x:v>7.9583300000000001</x:v>
      </x:c>
      <x:c r="B105">
        <x:v>0.98482350000000007</x:v>
      </x:c>
      <x:c r="C105">
        <x:v>0.98072007147927065</x:v>
      </x:c>
      <x:c r="F105">
        <x:v>7.9583300000000001</x:v>
      </x:c>
      <x:c r="G105">
        <x:v>1.006305</x:v>
      </x:c>
      <x:c r="H105">
        <x:v>1.0092745394054721</x:v>
      </x:c>
      <x:c r="K105">
        <x:v>7.9583300000000001</x:v>
      </x:c>
      <x:c r="L105">
        <x:v>1.0081899999999999</x:v>
      </x:c>
      <x:c r="M105">
        <x:v>1.0083786776689798</x:v>
      </x:c>
    </x:row>
    <x:row r="106">
      <x:c r="A106">
        <x:v>8.0416699999999999</x:v>
      </x:c>
      <x:c r="B106">
        <x:v>0.98508949999999995</x:v>
      </x:c>
      <x:c r="C106">
        <x:v>0.98070053655411982</x:v>
      </x:c>
      <x:c r="F106">
        <x:v>8.0416699999999999</x:v>
      </x:c>
      <x:c r="G106">
        <x:v>1.0020099999999998</x:v>
      </x:c>
      <x:c r="H106">
        <x:v>1.0050537052089408</x:v>
      </x:c>
      <x:c r="K106">
        <x:v>8.0416699999999999</x:v>
      </x:c>
      <x:c r="L106">
        <x:v>1.0081099999999998</x:v>
      </x:c>
      <x:c r="M106">
        <x:v>1.0075127345579906</x:v>
      </x:c>
    </x:row>
    <x:row r="107">
      <x:c r="A107">
        <x:v>8.125</x:v>
      </x:c>
      <x:c r="B107">
        <x:v>0.98612199999999994</x:v>
      </x:c>
      <x:c r="C107">
        <x:v>0.98287418542697946</x:v>
      </x:c>
      <x:c r="F107">
        <x:v>8.125</x:v>
      </x:c>
      <x:c r="G107">
        <x:v>0.99797150000000001</x:v>
      </x:c>
      <x:c r="H107">
        <x:v>1.0004688979680909</x:v>
      </x:c>
      <x:c r="K107">
        <x:v>8.125</x:v>
      </x:c>
      <x:c r="L107">
        <x:v>1.007185</x:v>
      </x:c>
      <x:c r="M107">
        <x:v>1.0073433753170538</x:v>
      </x:c>
    </x:row>
    <x:row r="108">
      <x:c r="A108">
        <x:v>8.2083300000000001</x:v>
      </x:c>
      <x:c r="B108">
        <x:v>0.98781150000000006</x:v>
      </x:c>
      <x:c r="C108">
        <x:v>0.98510842366264606</x:v>
      </x:c>
      <x:c r="F108">
        <x:v>8.2083300000000001</x:v>
      </x:c>
      <x:c r="G108">
        <x:v>0.99434299999999998</x:v>
      </x:c>
      <x:c r="H108">
        <x:v>0.99718856881225737</x:v>
      </x:c>
      <x:c r="K108">
        <x:v>8.2083300000000001</x:v>
      </x:c>
      <x:c r="L108">
        <x:v>1.006305</x:v>
      </x:c>
      <x:c r="M108">
        <x:v>1.0063033397470091</x:v>
      </x:c>
    </x:row>
    <x:row r="109">
      <x:c r="A109">
        <x:v>8.2916699999999999</x:v>
      </x:c>
      <x:c r="B109">
        <x:v>0.98984649999999996</x:v>
      </x:c>
      <x:c r="C109">
        <x:v>0.98910795258183093</x:v>
      </x:c>
      <x:c r="F109">
        <x:v>8.2916699999999999</x:v>
      </x:c>
      <x:c r="G109">
        <x:v>0.99144650000000001</x:v>
      </x:c>
      <x:c r="H109">
        <x:v>0.99350557061372591</x:v>
      </x:c>
      <x:c r="K109">
        <x:v>8.2916699999999999</x:v>
      </x:c>
      <x:c r="L109">
        <x:v>1.0051650000000001</x:v>
      </x:c>
      <x:c r="M109">
        <x:v>1.0047770846002895</x:v>
      </x:c>
    </x:row>
    <x:row r="110">
      <x:c r="A110">
        <x:v>8.375</x:v>
      </x:c>
      <x:c r="B110">
        <x:v>0.99238099999999996</x:v>
      </x:c>
      <x:c r="C110">
        <x:v>0.99285797378656049</x:v>
      </x:c>
      <x:c r="F110">
        <x:v>8.375</x:v>
      </x:c>
      <x:c r="G110">
        <x:v>0.989541</x:v>
      </x:c>
      <x:c r="H110">
        <x:v>0.9907540449622847</x:v>
      </x:c>
      <x:c r="K110">
        <x:v>8.375</x:v>
      </x:c>
      <x:c r="L110">
        <x:v>1.0037849999999999</x:v>
      </x:c>
      <x:c r="M110">
        <x:v>1.0034322371984974</x:v>
      </x:c>
    </x:row>
    <x:row r="111">
      <x:c r="A111">
        <x:v>8.4583300000000001</x:v>
      </x:c>
      <x:c r="B111">
        <x:v>0.99438650000000006</x:v>
      </x:c>
      <x:c r="C111">
        <x:v>0.99576653367028301</x:v>
      </x:c>
      <x:c r="F111">
        <x:v>8.4583300000000001</x:v>
      </x:c>
      <x:c r="G111">
        <x:v>0.98790700000000009</x:v>
      </x:c>
      <x:c r="H111">
        <x:v>0.98801147851857318</x:v>
      </x:c>
      <x:c r="K111">
        <x:v>8.4583300000000001</x:v>
      </x:c>
      <x:c r="L111">
        <x:v>1.00214</x:v>
      </x:c>
      <x:c r="M111">
        <x:v>1.0022543761163629</x:v>
      </x:c>
    </x:row>
    <x:row r="112">
      <x:c r="A112">
        <x:v>8.5416699999999999</x:v>
      </x:c>
      <x:c r="B112">
        <x:v>0.99649699999999997</x:v>
      </x:c>
      <x:c r="C112">
        <x:v>1.0008193966232521</x:v>
      </x:c>
      <x:c r="F112">
        <x:v>8.5416699999999999</x:v>
      </x:c>
      <x:c r="G112">
        <x:v>0.9872479999999999</x:v>
      </x:c>
      <x:c r="H112">
        <x:v>0.98729168258484412</x:v>
      </x:c>
      <x:c r="K112">
        <x:v>8.5416699999999999</x:v>
      </x:c>
      <x:c r="L112">
        <x:v>1.0002849999999999</x:v>
      </x:c>
      <x:c r="M112">
        <x:v>1.0009474437008954</x:v>
      </x:c>
    </x:row>
    <x:row r="113">
      <x:c r="A113">
        <x:v>8.625</x:v>
      </x:c>
      <x:c r="B113">
        <x:v>0.99802799999999992</x:v>
      </x:c>
      <x:c r="C113">
        <x:v>1.0033674175574818</x:v>
      </x:c>
      <x:c r="F113">
        <x:v>8.625</x:v>
      </x:c>
      <x:c r="G113">
        <x:v>0.98750199999999999</x:v>
      </x:c>
      <x:c r="H113">
        <x:v>0.98514400295880888</x:v>
      </x:c>
      <x:c r="K113">
        <x:v>8.625</x:v>
      </x:c>
      <x:c r="L113">
        <x:v>0.99855700000000003</x:v>
      </x:c>
      <x:c r="M113">
        <x:v>0.99965708602807968</x:v>
      </x:c>
    </x:row>
    <x:row r="114">
      <x:c r="A114">
        <x:v>8.7083300000000001</x:v>
      </x:c>
      <x:c r="B114">
        <x:v>0.99939149999999999</x:v>
      </x:c>
      <x:c r="C114">
        <x:v>1.0055638165339666</x:v>
      </x:c>
      <x:c r="F114">
        <x:v>8.7083300000000001</x:v>
      </x:c>
      <x:c r="G114">
        <x:v>0.98794300000000002</x:v>
      </x:c>
      <x:c r="H114">
        <x:v>0.98604550110738021</x:v>
      </x:c>
      <x:c r="K114">
        <x:v>8.7083300000000001</x:v>
      </x:c>
      <x:c r="L114">
        <x:v>0.99695500000000004</x:v>
      </x:c>
      <x:c r="M114">
        <x:v>0.99795005397896297</x:v>
      </x:c>
    </x:row>
    <x:row r="115">
      <x:c r="A115">
        <x:v>8.7916699999999999</x:v>
      </x:c>
      <x:c r="B115">
        <x:v>1.0002599999999999</x:v>
      </x:c>
      <x:c r="C115">
        <x:v>1.0086518974810363</x:v>
      </x:c>
      <x:c r="F115">
        <x:v>8.7916699999999999</x:v>
      </x:c>
      <x:c r="G115">
        <x:v>0.98930549999999995</x:v>
      </x:c>
      <x:c r="H115">
        <x:v>0.98556307101365026</x:v>
      </x:c>
      <x:c r="K115">
        <x:v>8.7916699999999999</x:v>
      </x:c>
      <x:c r="L115">
        <x:v>0.99549799999999999</x:v>
      </x:c>
      <x:c r="M115">
        <x:v>0.99667312982784606</x:v>
      </x:c>
    </x:row>
    <x:row r="116">
      <x:c r="A116">
        <x:v>8.875</x:v>
      </x:c>
      <x:c r="B116">
        <x:v>1.0008550000000001</x:v>
      </x:c>
      <x:c r="C116">
        <x:v>1.0110426571816455</x:v>
      </x:c>
      <x:c r="F116">
        <x:v>8.875</x:v>
      </x:c>
      <x:c r="G116">
        <x:v>0.99094850000000001</x:v>
      </x:c>
      <x:c r="H116">
        <x:v>0.98646872026796262</x:v>
      </x:c>
      <x:c r="K116">
        <x:v>8.875</x:v>
      </x:c>
      <x:c r="L116">
        <x:v>0.99451149999999999</x:v>
      </x:c>
      <x:c r="M116">
        <x:v>0.99566536155715857</x:v>
      </x:c>
    </x:row>
    <x:row r="117">
      <x:c r="A117">
        <x:v>8.9583300000000001</x:v>
      </x:c>
      <x:c r="B117">
        <x:v>1.00084</x:v>
      </x:c>
      <x:c r="C117">
        <x:v>1.0124693265888551</x:v>
      </x:c>
      <x:c r="F117">
        <x:v>8.9583300000000001</x:v>
      </x:c>
      <x:c r="G117">
        <x:v>0.99283900000000003</x:v>
      </x:c>
      <x:c r="H117">
        <x:v>0.98707331754185623</x:v>
      </x:c>
      <x:c r="K117">
        <x:v>8.9583300000000001</x:v>
      </x:c>
      <x:c r="L117">
        <x:v>0.99360300000000001</x:v>
      </x:c>
      <x:c r="M117">
        <x:v>0.99543078480467817</x:v>
      </x:c>
    </x:row>
    <x:row r="118">
      <x:c r="A118">
        <x:v>9.0416699999999999</x:v>
      </x:c>
      <x:c r="B118">
        <x:v>1.0011099999999999</x:v>
      </x:c>
      <x:c r="C118">
        <x:v>1.0102805615035735</x:v>
      </x:c>
      <x:c r="F118">
        <x:v>9.0416699999999999</x:v>
      </x:c>
      <x:c r="G118">
        <x:v>0.99468099999999993</x:v>
      </x:c>
      <x:c r="H118">
        <x:v>0.9897322056604152</x:v>
      </x:c>
      <x:c r="K118">
        <x:v>9.0416699999999999</x:v>
      </x:c>
      <x:c r="L118">
        <x:v>0.99306550000000005</x:v>
      </x:c>
      <x:c r="M118">
        <x:v>0.99472886352325429</x:v>
      </x:c>
    </x:row>
    <x:row r="119">
      <x:c r="A119">
        <x:v>9.125</x:v>
      </x:c>
      <x:c r="B119">
        <x:v>1.0002</x:v>
      </x:c>
      <x:c r="C119">
        <x:v>1.006455733451199</x:v>
      </x:c>
      <x:c r="F119">
        <x:v>9.125</x:v>
      </x:c>
      <x:c r="G119">
        <x:v>0.99667400000000006</x:v>
      </x:c>
      <x:c r="H119">
        <x:v>0.99316426017664761</x:v>
      </x:c>
      <x:c r="K119">
        <x:v>9.125</x:v>
      </x:c>
      <x:c r="L119">
        <x:v>0.99308399999999997</x:v>
      </x:c>
      <x:c r="M119">
        <x:v>0.99364647122574312</x:v>
      </x:c>
    </x:row>
    <x:row r="120">
      <x:c r="A120">
        <x:v>9.2083300000000001</x:v>
      </x:c>
      <x:c r="B120">
        <x:v>0.99959500000000001</x:v>
      </x:c>
      <x:c r="C120">
        <x:v>1.0016384526537274</x:v>
      </x:c>
      <x:c r="F120">
        <x:v>9.2083300000000001</x:v>
      </x:c>
      <x:c r="G120">
        <x:v>0.99821950000000004</x:v>
      </x:c>
      <x:c r="H120">
        <x:v>0.99608822213505721</x:v>
      </x:c>
      <x:c r="K120">
        <x:v>9.2083300000000001</x:v>
      </x:c>
      <x:c r="L120">
        <x:v>0.99322350000000004</x:v>
      </x:c>
      <x:c r="M120">
        <x:v>0.99368946266352143</x:v>
      </x:c>
    </x:row>
    <x:row r="121">
      <x:c r="A121">
        <x:v>9.2916699999999999</x:v>
      </x:c>
      <x:c r="B121">
        <x:v>0.99923899999999999</x:v>
      </x:c>
      <x:c r="C121">
        <x:v>0.99846419401638709</x:v>
      </x:c>
      <x:c r="F121">
        <x:v>9.2916699999999999</x:v>
      </x:c>
      <x:c r="G121">
        <x:v>0.99970400000000004</x:v>
      </x:c>
      <x:c r="H121">
        <x:v>0.99895303571247263</x:v>
      </x:c>
      <x:c r="K121">
        <x:v>9.2916699999999999</x:v>
      </x:c>
      <x:c r="L121">
        <x:v>0.99370099999999995</x:v>
      </x:c>
      <x:c r="M121">
        <x:v>0.9931636651837803</x:v>
      </x:c>
    </x:row>
    <x:row r="122">
      <x:c r="A122">
        <x:v>9.375</x:v>
      </x:c>
      <x:c r="B122">
        <x:v>0.99905899999999992</x:v>
      </x:c>
      <x:c r="C122">
        <x:v>0.9942564934176733</x:v>
      </x:c>
      <x:c r="F122">
        <x:v>9.375</x:v>
      </x:c>
      <x:c r="G122">
        <x:v>1.000915</x:v>
      </x:c>
      <x:c r="H122">
        <x:v>1.0016941993124118</x:v>
      </x:c>
      <x:c r="K122">
        <x:v>9.375</x:v>
      </x:c>
      <x:c r="L122">
        <x:v>0.99462099999999998</x:v>
      </x:c>
      <x:c r="M122">
        <x:v>0.99353717541220943</x:v>
      </x:c>
    </x:row>
    <x:row r="123">
      <x:c r="A123">
        <x:v>9.4583300000000001</x:v>
      </x:c>
      <x:c r="B123">
        <x:v>0.99867050000000002</x:v>
      </x:c>
      <x:c r="C123">
        <x:v>0.99262547703360871</x:v>
      </x:c>
      <x:c r="F123">
        <x:v>9.4583300000000001</x:v>
      </x:c>
      <x:c r="G123">
        <x:v>1.0019450000000001</x:v>
      </x:c>
      <x:c r="H123">
        <x:v>1.0032839157864393</x:v>
      </x:c>
      <x:c r="K123">
        <x:v>9.4583300000000001</x:v>
      </x:c>
      <x:c r="L123">
        <x:v>0.99531049999999999</x:v>
      </x:c>
      <x:c r="M123">
        <x:v>0.9938864039416081</x:v>
      </x:c>
    </x:row>
    <x:row r="124">
      <x:c r="A124">
        <x:v>9.5416699999999999</x:v>
      </x:c>
      <x:c r="B124">
        <x:v>0.99830149999999995</x:v>
      </x:c>
      <x:c r="C124">
        <x:v>0.99075572342492879</x:v>
      </x:c>
      <x:c r="F124">
        <x:v>9.5416699999999999</x:v>
      </x:c>
      <x:c r="G124">
        <x:v>1.00257</x:v>
      </x:c>
      <x:c r="H124">
        <x:v>1.0041279322184795</x:v>
      </x:c>
      <x:c r="K124">
        <x:v>9.5416699999999999</x:v>
      </x:c>
      <x:c r="L124">
        <x:v>0.9967125</x:v>
      </x:c>
      <x:c r="M124">
        <x:v>0.99427602579056318</x:v>
      </x:c>
    </x:row>
    <x:row r="125">
      <x:c r="A125">
        <x:v>9.625</x:v>
      </x:c>
      <x:c r="B125">
        <x:v>0.99858899999999995</x:v>
      </x:c>
      <x:c r="C125">
        <x:v>0.98939805579925688</x:v>
      </x:c>
      <x:c r="F125">
        <x:v>9.625</x:v>
      </x:c>
      <x:c r="G125">
        <x:v>1.0028600000000001</x:v>
      </x:c>
      <x:c r="H125">
        <x:v>1.0051834136185067</x:v>
      </x:c>
      <x:c r="K125">
        <x:v>9.625</x:v>
      </x:c>
      <x:c r="L125">
        <x:v>0.99781249999999999</x:v>
      </x:c>
      <x:c r="M125">
        <x:v>0.99560049416424989</x:v>
      </x:c>
    </x:row>
    <x:row r="126">
      <x:c r="A126">
        <x:v>9.7083300000000001</x:v>
      </x:c>
      <x:c r="B126">
        <x:v>0.99835600000000002</x:v>
      </x:c>
      <x:c r="C126">
        <x:v>0.98938983253241897</x:v>
      </x:c>
      <x:c r="F126">
        <x:v>9.7083300000000001</x:v>
      </x:c>
      <x:c r="G126">
        <x:v>1.00278</x:v>
      </x:c>
      <x:c r="H126">
        <x:v>1.0059689021714662</x:v>
      </x:c>
      <x:c r="K126">
        <x:v>9.7083300000000001</x:v>
      </x:c>
      <x:c r="L126">
        <x:v>0.998977</x:v>
      </x:c>
      <x:c r="M126">
        <x:v>0.9967809278354266</x:v>
      </x:c>
    </x:row>
    <x:row r="127">
      <x:c r="A127">
        <x:v>9.7916699999999999</x:v>
      </x:c>
      <x:c r="B127">
        <x:v>0.99895</x:v>
      </x:c>
      <x:c r="C127">
        <x:v>0.98968633560822716</x:v>
      </x:c>
      <x:c r="F127">
        <x:v>9.7916699999999999</x:v>
      </x:c>
      <x:c r="G127">
        <x:v>1.0027950000000001</x:v>
      </x:c>
      <x:c r="H127">
        <x:v>1.0053677736869704</x:v>
      </x:c>
      <x:c r="K127">
        <x:v>9.7916699999999999</x:v>
      </x:c>
      <x:c r="L127">
        <x:v>0.99989050000000002</x:v>
      </x:c>
      <x:c r="M127">
        <x:v>0.99756800165293258</x:v>
      </x:c>
    </x:row>
    <x:row r="128">
      <x:c r="A128">
        <x:v>9.875</x:v>
      </x:c>
      <x:c r="B128">
        <x:v>0.9995989999999999</x:v>
      </x:c>
      <x:c r="C128">
        <x:v>0.9918213117398732</x:v>
      </x:c>
      <x:c r="F128">
        <x:v>9.875</x:v>
      </x:c>
      <x:c r="G128">
        <x:v>1.002375</x:v>
      </x:c>
      <x:c r="H128">
        <x:v>1.0048084511106348</x:v>
      </x:c>
      <x:c r="K128">
        <x:v>9.875</x:v>
      </x:c>
      <x:c r="L128">
        <x:v>1.0009999999999999</x:v>
      </x:c>
      <x:c r="M128">
        <x:v>0.998678963994442</x:v>
      </x:c>
    </x:row>
    <x:row r="129">
      <x:c r="A129">
        <x:v>9.9583300000000001</x:v>
      </x:c>
      <x:c r="B129">
        <x:v>1.0001799999999998</x:v>
      </x:c>
      <x:c r="C129">
        <x:v>0.99330843755288101</x:v>
      </x:c>
      <x:c r="F129">
        <x:v>9.9583300000000001</x:v>
      </x:c>
      <x:c r="G129">
        <x:v>1.0018750000000001</x:v>
      </x:c>
      <x:c r="H129">
        <x:v>1.0036438687308471</x:v>
      </x:c>
      <x:c r="K129">
        <x:v>9.9583300000000001</x:v>
      </x:c>
      <x:c r="L129">
        <x:v>1.0019149999999999</x:v>
      </x:c>
      <x:c r="M129">
        <x:v>1.0002526694818652</x:v>
      </x:c>
    </x:row>
  </x:sheetData>
  <x:pageMargins left="0.7" right="0.7" top="0.75" bottom="0.75" header="0.3" footer="0.3"/>
</x:worksheet>
</file>