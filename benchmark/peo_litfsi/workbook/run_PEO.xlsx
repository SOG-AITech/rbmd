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3dde25fc1f47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线性复杂度" sheetId="1" r:id="R367a70ac709349ab"/>
    <x:sheet xmlns:r="http://schemas.openxmlformats.org/officeDocument/2006/relationships" name="STRONG" sheetId="2" r:id="R53a976cb07de435e"/>
    <x:sheet xmlns:r="http://schemas.openxmlformats.org/officeDocument/2006/relationships" name="WEAK" sheetId="3" r:id="R70c5a0898e7142c2"/>
    <x:sheet xmlns:r="http://schemas.openxmlformats.org/officeDocument/2006/relationships" name="RDF" sheetId="4" r:id="R8b7edf3c72b945a3"/>
  </x:sheets>
</x:workbook>
</file>

<file path=xl/sharedStrings.xml><?xml version="1.0" encoding="utf-8"?>
<x:sst xmlns:x="http://schemas.openxmlformats.org/spreadsheetml/2006/main">
  <x:si>
    <x:t xml:space="preserve">固定1N，4GPU，针对1M-64M原子体系,0-2000step</x:t>
  </x:si>
  <x:si>
    <x:t xml:space="preserve">avg time per step/s ,lammps-kokkos</x:t>
  </x:si>
  <x:si>
    <x:t xml:space="preserve">avg time per stpe/s,rbmd</x:t>
  </x:si>
  <x:si>
    <x:t xml:space="preserve">short</x:t>
  </x:si>
  <x:si>
    <x:t xml:space="preserve">long</x:t>
  </x:si>
  <x:si>
    <x:t xml:space="preserve">short+long</x:t>
  </x:si>
  <x:si>
    <x:t xml:space="preserve">1M</x:t>
  </x:si>
  <x:si>
    <x:t xml:space="preserve">2M</x:t>
  </x:si>
  <x:si>
    <x:t xml:space="preserve">4M</x:t>
  </x:si>
  <x:si>
    <x:t xml:space="preserve">8M</x:t>
  </x:si>
  <x:si>
    <x:t xml:space="preserve">16M</x:t>
  </x:si>
  <x:si>
    <x:t xml:space="preserve">32M</x:t>
  </x:si>
  <x:si>
    <x:t xml:space="preserve">64M</x:t>
  </x:si>
  <x:si>
    <x:t xml:space="preserve">COLLAPSE</x:t>
  </x:si>
  <x:si>
    <x:t xml:space="preserve">固定4M体系，针对1-32GPU,0-2000step</x:t>
  </x:si>
  <x:si>
    <x:t xml:space="preserve">1GPU</x:t>
  </x:si>
  <x:si>
    <x:t xml:space="preserve">2GPU</x:t>
  </x:si>
  <x:si>
    <x:t xml:space="preserve">4GPU</x:t>
  </x:si>
  <x:si>
    <x:t xml:space="preserve">8GPU</x:t>
  </x:si>
  <x:si>
    <x:t xml:space="preserve">16GPU</x:t>
  </x:si>
  <x:si>
    <x:t xml:space="preserve">32GPU</x:t>
  </x:si>
  <x:si>
    <x:t xml:space="preserve">64GPU</x:t>
  </x:si>
  <x:si>
    <x:t xml:space="preserve">PEO+LiTFSI RDF：1,000,000 atoms；343 K NVT；0.5 fs timestep；20,000 steps；5 frames；frame-averaged RDF</x:t>
  </x:si>
  <x:si>
    <x:t xml:space="preserve">PPPM 1e-4 vs RBMD rshell/core=12/6, RBL200, RBE200；Li-PEO(O) bin=0.32 Å；Li-TFSI(O) bin=0.30 Å（分别采用误差更小的数据）</x:t>
  </x:si>
  <x:si>
    <x:t xml:space="preserve">Li-PEO(O)</x:t>
  </x:si>
  <x:si>
    <x:t xml:space="preserve">Li-TFSI(O)</x:t>
  </x:si>
  <x:si>
    <x:t xml:space="preserve">r</x:t>
  </x:si>
  <x:si>
    <x:t xml:space="preserve">pppm</x:t>
  </x:si>
  <x:si>
    <x:t xml:space="preserve">rbmd</x:t>
  </x:si>
</x:sst>
</file>

<file path=xl/styles.xml><?xml version="1.0" encoding="utf-8"?>
<x:styleSheet xmlns:x="http://schemas.openxmlformats.org/spreadsheetml/2006/main">
  <x:numFmts count="3">
    <x:numFmt numFmtId="176" formatCode="0.000000_ "/>
    <x:numFmt numFmtId="177" formatCode="0.######"/>
    <x:numFmt numFmtId="200" formatCode="0.000000"/>
  </x:numFmts>
  <x:fonts count="5">
    <x:font>
      <x:sz val="11"/>
      <x:color theme="1"/>
      <x:name val="宋体"/>
    </x:font>
    <x:font>
      <x:sz val="9"/>
      <x:name val="FangSong"/>
    </x:font>
    <x:font>
      <x:b/>
      <x:sz val="11"/>
      <x:color rgb="FF1F1F1F"/>
      <x:name val="宋体"/>
    </x:font>
    <x:font>
      <x:sz val="10"/>
      <x:color rgb="FF333333"/>
      <x:name val="宋体"/>
    </x:font>
    <x:font>
      <x:sz val="9"/>
      <x:color rgb="FF595959"/>
      <x:name val="宋体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8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>
      <x:alignment vertical="center"/>
    </x:xf>
  </x:cellStyleXfs>
  <x:cellXfs count="40">
    <x:xf numFmtId="0" fontId="0" fillId="0" borderId="0" xfId="0">
      <x:alignment vertical="center"/>
    </x:xf>
    <x:xf numFmtId="176" fontId="0" fillId="0" borderId="0" xfId="0" applyNumberFormat="1">
      <x:alignment vertical="center"/>
    </x:xf>
    <x:xf numFmtId="0" fontId="0" fillId="2" borderId="0" xfId="0" applyFill="1">
      <x:alignment vertical="center"/>
    </x:xf>
    <x:xf numFmtId="0" fontId="0" fillId="2" borderId="0" xfId="0" applyFill="1" applyAlignment="1">
      <x:alignment horizontal="left" vertical="center"/>
    </x:xf>
    <x:xf numFmtId="177" fontId="0" fillId="2" borderId="0" xfId="0" applyNumberFormat="1" applyFill="1">
      <x:alignment vertical="center"/>
    </x:xf>
    <x:xf numFmtId="0" fontId="0" fillId="0" borderId="0" xfId="0" applyAlignment="1">
      <x:alignment horizontal="center" vertical="center"/>
    </x:xf>
    <x:xf numFmtId="0" fontId="0" fillId="2" borderId="0" xfId="0" applyFill="1" applyAlignment="1">
      <x:alignment horizontal="left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7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3" fillId="5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horizontal="center" vertical="center"/>
    </x:xf>
    <x:xf numFmtId="200" fontId="0" fillId="4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vertical="center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4ff2b5df334a65" /><Relationship Type="http://schemas.openxmlformats.org/officeDocument/2006/relationships/theme" Target="/xl/theme/theme1.xml" Id="R1a0d6e2795bd4f3c" /><Relationship Type="http://schemas.openxmlformats.org/officeDocument/2006/relationships/sharedStrings" Target="/xl/sharedStrings.xml" Id="Re0cf6677b82b4eea" /><Relationship Type="http://schemas.openxmlformats.org/officeDocument/2006/relationships/worksheet" Target="/xl/worksheets/sheet1.xml" Id="R367a70ac709349ab" /><Relationship Type="http://schemas.openxmlformats.org/officeDocument/2006/relationships/worksheet" Target="/xl/worksheets/sheet2.xml" Id="R53a976cb07de435e" /><Relationship Type="http://schemas.openxmlformats.org/officeDocument/2006/relationships/worksheet" Target="/xl/worksheets/sheet3.xml" Id="R70c5a0898e7142c2" /><Relationship Type="http://schemas.openxmlformats.org/officeDocument/2006/relationships/worksheet" Target="/xl/worksheets/sheet4.xml" Id="R8b7edf3c72b945a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" defaultRowHeight="14"/>
  <x:cols>
    <x:col min="2" max="2" width="11.5" customWidth="0"/>
    <x:col min="3" max="3" width="9.33203125" customWidth="0"/>
    <x:col min="4" max="4" width="18.6640625" customWidth="1"/>
    <x:col min="5" max="5" width="9.33203125" customWidth="0"/>
    <x:col min="6" max="6" width="10.33203125" customWidth="0"/>
    <x:col min="7" max="7" width="18.33203125" customWidth="1"/>
  </x:cols>
  <x:sheetData>
    <x:row r="1">
      <x:c r="A1" s="5" t="s">
        <x:v>0</x:v>
      </x:c>
      <x:c r="B1" s="5"/>
      <x:c r="C1" s="5"/>
      <x:c r="D1" s="5"/>
      <x:c r="E1" s="5"/>
      <x:c r="F1" s="5"/>
      <x:c r="G1" s="5"/>
    </x:row>
    <x:row r="2">
      <x:c r="B2" s="5" t="s">
        <x:v>1</x:v>
      </x:c>
      <x:c r="C2" s="5"/>
      <x:c r="D2" s="5"/>
      <x:c r="E2" s="5" t="s">
        <x:v>2</x:v>
      </x:c>
      <x:c r="F2" s="5"/>
      <x:c r="G2" s="5"/>
    </x:row>
    <x:row r="3">
      <x:c r="B3" t="s">
        <x:v>3</x:v>
      </x:c>
      <x:c r="C3" t="s">
        <x:v>4</x:v>
      </x:c>
      <x:c r="D3" t="s">
        <x:v>5</x:v>
      </x:c>
      <x:c r="E3" t="s">
        <x:v>3</x:v>
      </x:c>
      <x:c r="F3" t="s">
        <x:v>4</x:v>
      </x:c>
      <x:c r="G3" t="s">
        <x:v>5</x:v>
      </x:c>
    </x:row>
    <x:row r="4">
      <x:c r="A4" t="s">
        <x:v>6</x:v>
      </x:c>
      <x:c r="E4">
        <x:v>1.4935E-2</x:v>
      </x:c>
      <x:c r="F4">
        <x:v>3.5920000000000001E-3</x:v>
      </x:c>
      <x:c r="G4" t="n">
        <x:f>E4+F4</x:f>
        <x:v>0.018527000000000002</x:v>
      </x:c>
    </x:row>
    <x:row r="5">
      <x:c r="A5" t="s">
        <x:v>7</x:v>
      </x:c>
      <x:c r="E5">
        <x:v>2.6294999999999999E-2</x:v>
      </x:c>
      <x:c r="F5">
        <x:v>4.9919999999999999E-3</x:v>
      </x:c>
      <x:c r="G5" t="n">
        <x:f t="shared" ref="G5:G9" si="0">E5+F5</x:f>
        <x:v>0.031286999999999995</x:v>
      </x:c>
    </x:row>
    <x:row r="6">
      <x:c r="A6" t="s">
        <x:v>8</x:v>
      </x:c>
      <x:c r="E6">
        <x:v>5.1513000000000003E-2</x:v>
      </x:c>
      <x:c r="F6">
        <x:v>8.1670000000000006E-3</x:v>
      </x:c>
      <x:c r="G6">
        <x:f t="shared" si="0"/>
        <x:v>5.9680000000000004E-2</x:v>
      </x:c>
    </x:row>
    <x:row r="7">
      <x:c r="A7" t="s">
        <x:v>9</x:v>
      </x:c>
      <x:c r="E7">
        <x:v>9.3115000000000003E-2</x:v>
      </x:c>
      <x:c r="F7">
        <x:v>1.3712E-2</x:v>
      </x:c>
      <x:c r="G7">
        <x:f t="shared" si="0"/>
        <x:v>0.10682700000000001</x:v>
      </x:c>
    </x:row>
    <x:row r="8">
      <x:c r="A8" t="s">
        <x:v>10</x:v>
      </x:c>
      <x:c r="E8">
        <x:v>0.18482899999999999</x:v>
      </x:c>
      <x:c r="F8">
        <x:v>2.5585E-2</x:v>
      </x:c>
      <x:c r="G8">
        <x:f t="shared" si="0"/>
        <x:v>0.21041399999999999</x:v>
      </x:c>
    </x:row>
    <x:row r="9">
      <x:c r="A9" t="s">
        <x:v>11</x:v>
      </x:c>
      <x:c r="E9">
        <x:v>0.36982700000000002</x:v>
      </x:c>
      <x:c r="F9">
        <x:v>4.9041000000000001E-2</x:v>
      </x:c>
      <x:c r="G9">
        <x:f t="shared" si="0"/>
        <x:v>0.41886800000000002</x:v>
      </x:c>
    </x:row>
    <x:row r="10">
      <x:c r="A10" t="s">
        <x:v>12</x:v>
      </x:c>
      <x:c r="E10" t="s">
        <x:v>13</x:v>
      </x:c>
    </x:row>
    <x:row r="17">
      <x:c r="A17" s="5"/>
      <x:c r="B17" s="5"/>
      <x:c r="C17" s="5"/>
      <x:c r="D17" s="5"/>
      <x:c r="E17" s="5"/>
      <x:c r="F17" s="5"/>
      <x:c r="G17" s="5"/>
    </x:row>
    <x:row r="18">
      <x:c r="B18" s="5"/>
      <x:c r="C18" s="5"/>
      <x:c r="D18" s="5"/>
      <x:c r="E18" s="5"/>
      <x:c r="F18" s="5"/>
      <x:c r="G18" s="5"/>
    </x:row>
    <x:row r="22">
      <x:c r="F22" s="1"/>
    </x:row>
  </x:sheetData>
  <x:mergeCells>
    <x:mergeCell ref="A1:G1"/>
    <x:mergeCell ref="B2:D2"/>
    <x:mergeCell ref="E2:G2"/>
    <x:mergeCell ref="A17:G17"/>
    <x:mergeCell ref="B18:D18"/>
    <x:mergeCell ref="E18:G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" defaultRowHeight="14"/>
  <x:cols>
    <x:col min="2" max="2" width="12.6640625" customWidth="0"/>
    <x:col min="3" max="3" width="10.33203125" customWidth="0"/>
    <x:col min="4" max="4" width="12.6640625" customWidth="0"/>
    <x:col min="5" max="7" width="9.33203125" customWidth="0"/>
    <x:col min="11" max="11" width="12.6640625" customWidth="0"/>
    <x:col min="12" max="12" width="10.33203125" customWidth="0"/>
    <x:col min="13" max="13" width="12.6640625" customWidth="0"/>
    <x:col min="14" max="14" width="10.33203125" customWidth="0"/>
    <x:col min="15" max="16" width="9.33203125" customWidth="0"/>
  </x:cols>
  <x:sheetData>
    <x:row r="3">
      <x:c r="A3" s="5" t="s">
        <x:v>14</x:v>
      </x:c>
      <x:c r="B3" s="5"/>
      <x:c r="C3" s="5"/>
      <x:c r="D3" s="5"/>
      <x:c r="E3" s="5"/>
      <x:c r="F3" s="5"/>
      <x:c r="G3" s="5"/>
      <x:c r="J3" s="5"/>
      <x:c r="K3" s="5"/>
      <x:c r="L3" s="5"/>
      <x:c r="M3" s="5"/>
      <x:c r="N3" s="5"/>
      <x:c r="O3" s="5"/>
      <x:c r="P3" s="5"/>
    </x:row>
    <x:row r="4">
      <x:c r="B4" s="5" t="s">
        <x:v>1</x:v>
      </x:c>
      <x:c r="C4" s="5"/>
      <x:c r="D4" s="5"/>
      <x:c r="E4" s="5" t="s">
        <x:v>2</x:v>
      </x:c>
      <x:c r="F4" s="5"/>
      <x:c r="G4" s="5"/>
      <x:c r="K4" s="5"/>
      <x:c r="L4" s="5"/>
      <x:c r="M4" s="5"/>
      <x:c r="N4" s="5"/>
      <x:c r="O4" s="5"/>
      <x:c r="P4" s="5"/>
    </x:row>
    <x:row r="5">
      <x:c r="B5" t="s">
        <x:v>3</x:v>
      </x:c>
      <x:c r="C5" t="s">
        <x:v>4</x:v>
      </x:c>
      <x:c r="D5" t="s">
        <x:v>5</x:v>
      </x:c>
      <x:c r="E5" t="s">
        <x:v>3</x:v>
      </x:c>
      <x:c r="F5" t="s">
        <x:v>4</x:v>
      </x:c>
      <x:c r="G5" t="s">
        <x:v>5</x:v>
      </x:c>
    </x:row>
    <x:row r="6">
      <x:c r="A6" t="s">
        <x:v>15</x:v>
      </x:c>
      <x:c r="B6" t="n">
        <x:f>821.47/2000</x:f>
        <x:v>0.410735</x:v>
      </x:c>
      <x:c r="C6" t="n">
        <x:f>140.51/2000</x:f>
        <x:v>0.070255</x:v>
      </x:c>
      <x:c r="D6" t="n">
        <x:f>B6+C6</x:f>
        <x:v>0.48099000000000003</x:v>
      </x:c>
      <x:c r="E6">
        <x:v>0.181949</x:v>
      </x:c>
      <x:c r="F6">
        <x:v>2.5009E-2</x:v>
      </x:c>
      <x:c r="G6" t="n">
        <x:f t="shared" ref="G6:G11" si="0">E6+F6</x:f>
        <x:v>0.206958</x:v>
      </x:c>
    </x:row>
    <x:row r="7">
      <x:c r="A7" t="s">
        <x:v>16</x:v>
      </x:c>
      <x:c r="B7" t="n">
        <x:f>391.27/2000</x:f>
        <x:v>0.195635</x:v>
      </x:c>
      <x:c r="C7" t="n">
        <x:f>91.076/2000</x:f>
        <x:v>0.045537999999999995</x:v>
      </x:c>
      <x:c r="D7" t="n">
        <x:f t="shared" ref="D7:D11" si="1">B7+C7</x:f>
        <x:v>0.241173</x:v>
      </x:c>
      <x:c r="E7">
        <x:v>9.2751E-2</x:v>
      </x:c>
      <x:c r="F7">
        <x:v>1.3542999999999999E-2</x:v>
      </x:c>
      <x:c r="G7">
        <x:f t="shared" si="0"/>
        <x:v>0.106294</x:v>
      </x:c>
    </x:row>
    <x:row r="8">
      <x:c r="A8" t="s">
        <x:v>17</x:v>
      </x:c>
      <x:c r="B8" t="n">
        <x:f>208.08/2000</x:f>
        <x:v>0.10404000000000001</x:v>
      </x:c>
      <x:c r="C8" t="n">
        <x:f>68.351/2000</x:f>
        <x:v>0.0341755</x:v>
      </x:c>
      <x:c r="D8">
        <x:f t="shared" si="1"/>
        <x:v>0.13821549999999999</x:v>
      </x:c>
      <x:c r="E8">
        <x:v>5.1451999999999998E-2</x:v>
      </x:c>
      <x:c r="F8">
        <x:v>8.1209999999999997E-3</x:v>
      </x:c>
      <x:c r="G8">
        <x:f t="shared" si="0"/>
        <x:v>5.9573000000000001E-2</x:v>
      </x:c>
    </x:row>
    <x:row r="9">
      <x:c r="A9" t="s">
        <x:v>18</x:v>
      </x:c>
      <x:c r="B9" t="n">
        <x:f>105.46/2000</x:f>
        <x:v>0.05273</x:v>
      </x:c>
      <x:c r="C9" t="n">
        <x:f>55.463/2000</x:f>
        <x:v>0.0277315</x:v>
      </x:c>
      <x:c r="D9">
        <x:f t="shared" si="1"/>
        <x:v>8.0461499999999991E-2</x:v>
      </x:c>
      <x:c r="E9">
        <x:v>2.6414E-2</x:v>
      </x:c>
      <x:c r="F9">
        <x:v>5.1929999999999997E-3</x:v>
      </x:c>
      <x:c r="G9">
        <x:f t="shared" si="0"/>
        <x:v>3.1606999999999996E-2</x:v>
      </x:c>
    </x:row>
    <x:row r="10">
      <x:c r="A10" t="s">
        <x:v>19</x:v>
      </x:c>
      <x:c r="B10" t="n">
        <x:f>58.564/2000</x:f>
        <x:v>0.029282</x:v>
      </x:c>
      <x:c r="C10" t="n">
        <x:f>42.357/2000</x:f>
        <x:v>0.0211785</x:v>
      </x:c>
      <x:c r="D10">
        <x:f t="shared" si="1"/>
        <x:v>5.0460499999999998E-2</x:v>
      </x:c>
      <x:c r="E10">
        <x:v>1.5143999999999999E-2</x:v>
      </x:c>
      <x:c r="F10">
        <x:v>3.826E-3</x:v>
      </x:c>
      <x:c r="G10">
        <x:f t="shared" si="0"/>
        <x:v>1.8970000000000001E-2</x:v>
      </x:c>
    </x:row>
    <x:row r="11">
      <x:c r="A11" t="s">
        <x:v>20</x:v>
      </x:c>
      <x:c r="B11" t="n">
        <x:f>30.01/2000</x:f>
        <x:v>0.015005000000000001</x:v>
      </x:c>
      <x:c r="C11" t="n">
        <x:f>40.649/2000</x:f>
        <x:v>0.0203245</x:v>
      </x:c>
      <x:c r="D11">
        <x:f t="shared" si="1"/>
        <x:v>3.53295E-2</x:v>
      </x:c>
      <x:c r="E11">
        <x:v>8.9379999999999998E-3</x:v>
      </x:c>
      <x:c r="F11">
        <x:v>3.0990000000000002E-3</x:v>
      </x:c>
      <x:c r="G11">
        <x:f t="shared" si="0"/>
        <x:v>1.2036999999999999E-2</x:v>
      </x:c>
    </x:row>
    <x:row r="12">
      <x:c r="A12" t="s">
        <x:v>21</x:v>
      </x:c>
      <x:c r="B12" t="n">
        <x:f>14.924/2000</x:f>
        <x:v>0.007462</x:v>
      </x:c>
      <x:c r="C12" t="n">
        <x:f>44.995/2000</x:f>
        <x:v>0.0224975</x:v>
      </x:c>
      <x:c r="D12" t="n">
        <x:f>B12+C12</x:f>
        <x:v>0.0299595</x:v>
      </x:c>
      <x:c r="E12">
        <x:v>3.7239999999999999E-3</x:v>
      </x:c>
      <x:c r="F12">
        <x:v>3.029E-3</x:v>
      </x:c>
      <x:c r="G12" t="n">
        <x:f>E12+F12</x:f>
        <x:v>0.006753</x:v>
      </x:c>
    </x:row>
    <x:row r="13">
      <x:c r="D13" t="n">
        <x:f>D6/D12/64</x:f>
        <x:v>0.2508542782756722</x:v>
      </x:c>
      <x:c r="G13" t="n">
        <x:f>G6/G12/64</x:f>
        <x:v>0.47885661928031986</x:v>
      </x:c>
    </x:row>
    <x:row r="16">
      <x:c r="A16" s="5"/>
      <x:c r="B16" s="5"/>
      <x:c r="C16" s="5"/>
      <x:c r="D16" s="5"/>
      <x:c r="E16" s="5"/>
      <x:c r="F16" s="5"/>
      <x:c r="G16" s="5"/>
      <x:c r="J16" s="5"/>
      <x:c r="K16" s="5"/>
      <x:c r="L16" s="5"/>
      <x:c r="M16" s="5"/>
      <x:c r="N16" s="5"/>
      <x:c r="O16" s="5"/>
      <x:c r="P16" s="5"/>
    </x:row>
    <x:row r="17">
      <x:c r="B17" s="5"/>
      <x:c r="C17" s="5"/>
      <x:c r="D17" s="5"/>
      <x:c r="E17" s="5"/>
      <x:c r="F17" s="5"/>
      <x:c r="G17" s="5"/>
      <x:c r="K17" s="5"/>
      <x:c r="L17" s="5"/>
      <x:c r="M17" s="5"/>
      <x:c r="N17" s="5"/>
      <x:c r="O17" s="5"/>
      <x:c r="P17" s="5"/>
    </x:row>
    <x:row r="24">
      <x:c r="N24" s="1"/>
    </x:row>
  </x:sheetData>
  <x:mergeCells>
    <x:mergeCell ref="A3:G3"/>
    <x:mergeCell ref="J3:P3"/>
    <x:mergeCell ref="B4:D4"/>
    <x:mergeCell ref="E4:G4"/>
    <x:mergeCell ref="K4:M4"/>
    <x:mergeCell ref="N4:P4"/>
    <x:mergeCell ref="A16:G16"/>
    <x:mergeCell ref="J16:P16"/>
    <x:mergeCell ref="B17:D17"/>
    <x:mergeCell ref="E17:G17"/>
    <x:mergeCell ref="K17:M17"/>
    <x:mergeCell ref="N17:P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4"/>
  <x:cols>
    <x:col min="2" max="2" width="17" hidden="0" customWidth="1"/>
    <x:col min="3" max="3" width="15" hidden="0" customWidth="1"/>
    <x:col min="4" max="4" width="22" hidden="0" customWidth="1"/>
    <x:col min="5" max="5" width="14" hidden="0" customWidth="1"/>
    <x:col min="6" max="6" width="14" hidden="0" customWidth="1"/>
    <x:col min="7" max="7" width="14" hidden="0" customWidth="1"/>
    <x:col min="11" max="11" width="12.6640625" customWidth="0"/>
    <x:col min="12" max="12" width="10.33203125" customWidth="0"/>
    <x:col min="13" max="13" width="12.6640625" customWidth="0"/>
    <x:col min="14" max="14" width="9.33203125" customWidth="0"/>
    <x:col min="16" max="16" width="9.33203125" customWidth="0"/>
    <x:col min="1" max="1" width="36" hidden="0" customWidth="1"/>
  </x:cols>
  <x:sheetData>
    <x:row r="3">
      <x:c r="A3" s="5" t="str">
        <x:v>PEO-LiTFSI: fixed ~1M/DCU weak scaling (0-2000 steps); 4M point shape-aligned 2026-08-19</x:v>
      </x:c>
      <x:c r="B3" s="5"/>
      <x:c r="C3" s="5"/>
      <x:c r="D3" s="5"/>
      <x:c r="E3" s="5"/>
      <x:c r="F3" s="5"/>
      <x:c r="G3" s="5"/>
      <x:c r="J3" s="5"/>
      <x:c r="K3" s="5"/>
      <x:c r="L3" s="5"/>
      <x:c r="M3" s="5"/>
      <x:c r="N3" s="5"/>
      <x:c r="O3" s="5"/>
      <x:c r="P3" s="5"/>
    </x:row>
    <x:row r="4">
      <x:c r="B4" s="5" t="s">
        <x:v>1</x:v>
      </x:c>
      <x:c r="C4" s="5"/>
      <x:c r="D4" s="5"/>
      <x:c r="E4" s="5" t="s">
        <x:v>2</x:v>
      </x:c>
      <x:c r="F4" s="5"/>
      <x:c r="G4" s="5"/>
      <x:c r="K4" s="5"/>
      <x:c r="L4" s="5"/>
      <x:c r="M4" s="5"/>
      <x:c r="N4" s="5"/>
      <x:c r="O4" s="5"/>
      <x:c r="P4" s="5"/>
    </x:row>
    <x:row r="5">
      <x:c r="B5" t="s">
        <x:v>3</x:v>
      </x:c>
      <x:c r="C5" t="s">
        <x:v>4</x:v>
      </x:c>
      <x:c r="D5" t="s">
        <x:v>5</x:v>
      </x:c>
      <x:c r="E5" t="s">
        <x:v>3</x:v>
      </x:c>
      <x:c r="F5" t="s">
        <x:v>4</x:v>
      </x:c>
      <x:c r="G5" t="s">
        <x:v>5</x:v>
      </x:c>
    </x:row>
    <x:row r="6">
      <x:c r="A6" t="s">
        <x:v>6</x:v>
      </x:c>
      <x:c r="B6" t="n">
        <x:f>207.63/2000</x:f>
        <x:v>0.103815</x:v>
      </x:c>
      <x:c r="C6" t="n">
        <x:f>52.147/2000</x:f>
        <x:v>0.0260735</x:v>
      </x:c>
      <x:c r="D6" t="n">
        <x:f>B6+C6</x:f>
        <x:v>0.12988850000000002</x:v>
      </x:c>
      <x:c r="E6" s="39">
        <x:v>4.6154000000000001E-2</x:v>
      </x:c>
      <x:c r="F6" s="39">
        <x:v>7.2150000000000001E-3</x:v>
      </x:c>
      <x:c r="G6" s="39" t="n">
        <x:f>E6+F6</x:f>
        <x:v>0.053369</x:v>
      </x:c>
    </x:row>
    <x:row r="7">
      <x:c r="A7" t="s">
        <x:v>7</x:v>
      </x:c>
      <x:c r="B7" t="n">
        <x:f>202.83/2000</x:f>
        <x:v>0.101415</x:v>
      </x:c>
      <x:c r="C7" t="n">
        <x:f>58.231/2000</x:f>
        <x:v>0.029115500000000002</x:v>
      </x:c>
      <x:c r="D7" t="n">
        <x:f t="shared" ref="D7:D11" si="0">B7+C7</x:f>
        <x:v>0.1305305</x:v>
      </x:c>
      <x:c r="E7" s="39">
        <x:v>4.7125E-2</x:v>
      </x:c>
      <x:c r="F7" s="39">
        <x:v>7.6360000000000004E-3</x:v>
      </x:c>
      <x:c r="G7" s="39" t="n">
        <x:f t="shared" ref="G7:G11" si="1">E7+F7</x:f>
        <x:v>0.054761000000000004</x:v>
      </x:c>
    </x:row>
    <x:row r="8">
      <x:c r="A8" t="s">
        <x:v>8</x:v>
      </x:c>
      <x:c r="B8" t="n">
        <x:f>208.11/2000</x:f>
        <x:v>0.10405500000000001</x:v>
      </x:c>
      <x:c r="C8" t="n">
        <x:f>68.15/2000</x:f>
        <x:v>0.034075</x:v>
      </x:c>
      <x:c r="D8">
        <x:f t="shared" si="0"/>
        <x:v>0.13813</x:v>
      </x:c>
      <x:c r="E8" s="39" t="n">
        <x:f>E18</x:f>
        <x:v>0.047316</x:v>
      </x:c>
      <x:c r="F8" s="39" t="n">
        <x:f>F18</x:f>
        <x:v>0.007772</x:v>
      </x:c>
      <x:c r="G8" s="39" t="n">
        <x:f t="shared" si="1">E8+F8</x:f>
        <x:v>0.055088</x:v>
      </x:c>
    </x:row>
    <x:row r="9">
      <x:c r="A9" t="s">
        <x:v>9</x:v>
      </x:c>
      <x:c r="B9" t="n">
        <x:f>203.33/2000</x:f>
        <x:v>0.101665</x:v>
      </x:c>
      <x:c r="C9" t="n">
        <x:f>76.615/2000</x:f>
        <x:v>0.038307499999999994</x:v>
      </x:c>
      <x:c r="D9">
        <x:f t="shared" si="0"/>
        <x:v>0.1399725</x:v>
      </x:c>
      <x:c r="E9" s="39">
        <x:v>4.7522000000000002E-2</x:v>
      </x:c>
      <x:c r="F9" s="39">
        <x:v>7.9869999999999993E-3</x:v>
      </x:c>
      <x:c r="G9" s="39">
        <x:f t="shared" si="1"/>
        <x:v>5.5509000000000003E-2</x:v>
      </x:c>
    </x:row>
    <x:row r="10">
      <x:c r="A10" t="s">
        <x:v>10</x:v>
      </x:c>
      <x:c r="B10" t="n">
        <x:f>202.78/2000</x:f>
        <x:v>0.10139</x:v>
      </x:c>
      <x:c r="C10" t="n">
        <x:f>84.795/2000</x:f>
        <x:v>0.0423975</x:v>
      </x:c>
      <x:c r="D10">
        <x:f t="shared" si="0"/>
        <x:v>0.14378749999999998</x:v>
      </x:c>
      <x:c r="E10" s="39">
        <x:v>4.7586999999999997E-2</x:v>
      </x:c>
      <x:c r="F10" s="39">
        <x:v>8.0750000000000006E-3</x:v>
      </x:c>
      <x:c r="G10" s="39">
        <x:f t="shared" si="1"/>
        <x:v>5.5661999999999996E-2</x:v>
      </x:c>
    </x:row>
    <x:row r="11">
      <x:c r="A11" t="s">
        <x:v>11</x:v>
      </x:c>
      <x:c r="B11" t="n">
        <x:f>201.49/2000</x:f>
        <x:v>0.100745</x:v>
      </x:c>
      <x:c r="C11" t="n">
        <x:f>100.07/2000</x:f>
        <x:v>0.050034999999999996</x:v>
      </x:c>
      <x:c r="D11">
        <x:f t="shared" si="0"/>
        <x:v>0.15078</x:v>
      </x:c>
      <x:c r="E11" s="39">
        <x:v>4.768E-2</x:v>
      </x:c>
      <x:c r="F11" s="39">
        <x:v>8.1370000000000001E-3</x:v>
      </x:c>
      <x:c r="G11" s="39">
        <x:f t="shared" si="1"/>
        <x:v>5.5816999999999999E-2</x:v>
      </x:c>
    </x:row>
    <x:row r="12">
      <x:c r="A12" t="s">
        <x:v>12</x:v>
      </x:c>
      <x:c r="B12" t="n">
        <x:f>203.9/2000</x:f>
        <x:v>0.10195</x:v>
      </x:c>
      <x:c r="C12" t="n">
        <x:f>122.52/2000</x:f>
        <x:v>0.061259999999999995</x:v>
      </x:c>
      <x:c r="D12" t="n">
        <x:f>B12+C12</x:f>
        <x:v>0.16321</x:v>
      </x:c>
      <x:c r="E12" s="39">
        <x:v>4.7759999999999997E-2</x:v>
      </x:c>
      <x:c r="F12" s="39">
        <x:v>8.5269999999999999E-3</x:v>
      </x:c>
      <x:c r="G12" s="39" t="n">
        <x:f>E12+F12</x:f>
        <x:v>0.056287</x:v>
      </x:c>
    </x:row>
    <x:row r="14" ht="26" customHeight="1">
      <x:c r="A14" t="str">
        <x:v>PEO-LiTFSI 4M weak-scaling audit: automatic vs forced MPI grid</x:v>
      </x:c>
      <x:c r="B14"/>
      <x:c r="C14"/>
      <x:c r="D14"/>
      <x:c r="E14"/>
      <x:c r="F14"/>
      <x:c r="G14"/>
    </x:row>
    <x:row r="15" ht="30" customHeight="1">
      <x:c r="A15" s="12" t="str">
        <x:v>case / provenance</x:v>
      </x:c>
      <x:c r="B15" s="12" t="str">
        <x:v>nodes / DCU</x:v>
      </x:c>
      <x:c r="C15" s="12" t="str">
        <x:v>MPI grid</x:v>
      </x:c>
      <x:c r="D15" s="12" t="str">
        <x:v>local box (angstrom)</x:v>
      </x:c>
      <x:c r="E15" s="12" t="str">
        <x:v>short</x:v>
      </x:c>
      <x:c r="F15" s="12" t="str">
        <x:v>long</x:v>
      </x:c>
      <x:c r="G15" s="12" t="str">
        <x:v>short+long</x:v>
      </x:c>
    </x:row>
    <x:row r="16" ht="24" customHeight="1">
      <x:c r="A16" s="32" t="str">
        <x:v>legacy workbook</x:v>
      </x:c>
      <x:c r="B16" s="32" t="str">
        <x:v>1N / 4DCU</x:v>
      </x:c>
      <x:c r="C16" s="32" t="str">
        <x:v>2x2x1 (auto)</x:v>
      </x:c>
      <x:c r="D16" s="32" t="str">
        <x:v>239.6x110.8x453.4</x:v>
      </x:c>
      <x:c r="E16" s="36" t="n">
        <x:v>0.051539</x:v>
      </x:c>
      <x:c r="F16" s="36" t="n">
        <x:v>0.00822</x:v>
      </x:c>
      <x:c r="G16" s="36" t="n">
        <x:f>E16+F16</x:f>
        <x:v>0.059759</x:v>
      </x:c>
    </x:row>
    <x:row r="17" ht="24" customHeight="1">
      <x:c r="A17" s="33" t="str">
        <x:v>exact repeat, job 755038</x:v>
      </x:c>
      <x:c r="B17" s="33" t="str">
        <x:v>1N / 4DCU</x:v>
      </x:c>
      <x:c r="C17" s="33" t="str">
        <x:v>2x2x1 (auto)</x:v>
      </x:c>
      <x:c r="D17" s="33" t="str">
        <x:v>239.6x110.8x453.4</x:v>
      </x:c>
      <x:c r="E17" s="37" t="n">
        <x:v>0.051559</x:v>
      </x:c>
      <x:c r="F17" s="37" t="n">
        <x:v>0.008073</x:v>
      </x:c>
      <x:c r="G17" s="37" t="n">
        <x:f>E17+F17</x:f>
        <x:v>0.059632000000000004</x:v>
      </x:c>
    </x:row>
    <x:row r="18" ht="24" customHeight="1">
      <x:c r="A18" s="34" t="str">
        <x:v>shape-aligned, job 755134 (primary)</x:v>
      </x:c>
      <x:c r="B18" s="35" t="str">
        <x:v>1N / 4DCU</x:v>
      </x:c>
      <x:c r="C18" s="35" t="str">
        <x:v>2x1x2 (forced)</x:v>
      </x:c>
      <x:c r="D18" s="35" t="str">
        <x:v>239.6x221.5x226.7</x:v>
      </x:c>
      <x:c r="E18" s="38" t="n">
        <x:v>0.047316</x:v>
      </x:c>
      <x:c r="F18" s="38" t="n">
        <x:v>0.007772</x:v>
      </x:c>
      <x:c r="G18" s="38" t="n">
        <x:f>E18+F18</x:f>
        <x:v>0.055088</x:v>
      </x:c>
    </x:row>
    <x:row r="20" ht="36" customHeight="1">
      <x:c r="A20" s="23" t="str">
        <x:v>Conclusion: the exact repeat differs from the legacy total by only 0.21%, so the high first point is reproducible. Forcing 2x1x2 makes the local box near-cubic and lowers Short+Long from 0.059759 to 0.055088 s/step (7.82%), returning the point to the 8M-64M plateau. The anomaly is therefore dominated by automatic domain-decomposition geometry, not random timing noise.</x:v>
      </x:c>
      <x:c r="B20" s="24"/>
      <x:c r="C20" s="24"/>
      <x:c r="D20" s="24"/>
      <x:c r="E20" s="24"/>
      <x:c r="F20" s="24"/>
      <x:c r="G20" s="25"/>
    </x:row>
    <x:row r="21" ht="36" customHeight="1">
      <x:c r="A21" s="26"/>
      <x:c r="B21" s="27"/>
      <x:c r="C21" s="27"/>
      <x:c r="D21" s="27"/>
      <x:c r="E21" s="27"/>
      <x:c r="F21" s="27"/>
      <x:c r="G21" s="28"/>
    </x:row>
    <x:row r="22" ht="34" customHeight="1">
      <x:c r="A22" s="31" t="str">
        <x:v>Source: /public/home/acymkxdx47/rbmd/build/new_gyf_test/peo_weak_firstpoint_grid_2x1x2_20260819/archive/peo_weak_firstpoint_grid_2x1x2_20260819T205332.tgz (SHA-256 3ba165dc436780ef7f91d20f745dc5bb9c6df7ce6d85f68132186df37ae7289c)</x:v>
      </x:c>
      <x:c r="B22" s="31"/>
      <x:c r="C22" s="31"/>
      <x:c r="D22" s="31"/>
      <x:c r="E22" s="31"/>
      <x:c r="F22" s="31"/>
      <x:c r="G22" s="31"/>
    </x:row>
  </x:sheetData>
  <x:mergeCells>
    <x:mergeCell ref="A3:G3"/>
    <x:mergeCell ref="J3:P3"/>
    <x:mergeCell ref="B4:D4"/>
    <x:mergeCell ref="E4:G4"/>
    <x:mergeCell ref="K4:M4"/>
    <x:mergeCell ref="N4:P4"/>
    <x:mergeCell ref="A14:G14"/>
    <x:mergeCell ref="A20:G21"/>
    <x:mergeCell ref="A22:G2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" defaultRowHeight="14"/>
  <x:cols>
    <x:col min="1" max="3" width="14" customWidth="1"/>
    <x:col min="4" max="4" width="16.5" customWidth="1"/>
    <x:col min="5" max="5" width="11.5" customWidth="0"/>
    <x:col min="6" max="6" width="14" customWidth="1"/>
    <x:col min="7" max="7" width="17.33203125" customWidth="1"/>
    <x:col min="8" max="8" width="14" customWidth="1"/>
    <x:col min="9" max="12" width="9.33203125" customWidth="0"/>
    <x:col min="13" max="13" width="10.33203125" customWidth="0"/>
    <x:col min="14" max="16" width="9.33203125" customWidth="0"/>
  </x:cols>
  <x:sheetData>
    <x:row r="1" ht="18" customHeight="1">
      <x:c r="A1" s="6" t="s">
        <x:v>22</x:v>
      </x:c>
      <x:c r="B1" s="6"/>
      <x:c r="C1" s="6"/>
      <x:c r="D1" s="6"/>
      <x:c r="E1" s="6"/>
      <x:c r="F1" s="6"/>
      <x:c r="G1" s="6"/>
      <x:c r="H1" s="3"/>
    </x:row>
    <x:row r="2">
      <x:c r="A2" s="6"/>
      <x:c r="B2" s="6"/>
      <x:c r="C2" s="6"/>
      <x:c r="D2" s="6"/>
      <x:c r="E2" s="6"/>
      <x:c r="F2" s="6"/>
      <x:c r="G2" s="6"/>
      <x:c r="H2" s="3"/>
    </x:row>
    <x:row r="3" ht="18" customHeight="1">
      <x:c r="A3" s="6" t="s">
        <x:v>23</x:v>
      </x:c>
      <x:c r="B3" s="6"/>
      <x:c r="C3" s="6"/>
      <x:c r="D3" s="6"/>
      <x:c r="E3" s="6"/>
      <x:c r="F3" s="6"/>
      <x:c r="G3" s="6"/>
      <x:c r="H3" s="3"/>
    </x:row>
    <x:row r="4">
      <x:c r="A4" s="2"/>
      <x:c r="B4" s="2"/>
      <x:c r="C4" s="2"/>
      <x:c r="D4" s="2"/>
      <x:c r="E4" s="2"/>
      <x:c r="F4" s="2"/>
      <x:c r="G4" s="2"/>
      <x:c r="H4" s="2"/>
    </x:row>
    <x:row r="5">
      <x:c r="A5" s="2"/>
      <x:c r="B5" s="2"/>
      <x:c r="C5" s="2"/>
      <x:c r="D5" s="2"/>
      <x:c r="E5" s="2"/>
      <x:c r="F5" s="2"/>
      <x:c r="G5" s="2"/>
      <x:c r="H5" s="2"/>
    </x:row>
    <x:row r="6">
      <x:c r="A6" s="2"/>
      <x:c r="B6" s="2"/>
      <x:c r="C6" s="2"/>
      <x:c r="D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3" t="s">
        <x:v>24</x:v>
      </x:c>
      <x:c r="B8" s="3"/>
      <x:c r="C8" s="3"/>
      <x:c r="D8" s="3"/>
      <x:c r="E8" s="3"/>
      <x:c r="F8" s="3" t="s">
        <x:v>25</x:v>
      </x:c>
      <x:c r="G8" s="3"/>
      <x:c r="H8" s="3"/>
    </x:row>
    <x:row r="9">
      <x:c r="A9" s="3" t="s">
        <x:v>26</x:v>
      </x:c>
      <x:c r="B9" s="3" t="s">
        <x:v>27</x:v>
      </x:c>
      <x:c r="C9" s="3" t="s">
        <x:v>28</x:v>
      </x:c>
      <x:c r="D9" s="3"/>
      <x:c r="E9" s="3"/>
      <x:c r="F9" s="3" t="s">
        <x:v>26</x:v>
      </x:c>
      <x:c r="G9" s="3" t="s">
        <x:v>27</x:v>
      </x:c>
      <x:c r="H9" s="3" t="s">
        <x:v>28</x:v>
      </x:c>
    </x:row>
    <x:row r="10">
      <x:c r="A10" s="4">
        <x:v>0.160714</x:v>
      </x:c>
      <x:c r="B10" s="4">
        <x:v>0</x:v>
      </x:c>
      <x:c r="C10" s="4">
        <x:v>0</x:v>
      </x:c>
      <x:c r="D10" s="2"/>
      <x:c r="E10" s="2"/>
      <x:c r="F10" s="4">
        <x:v>0.15</x:v>
      </x:c>
      <x:c r="G10" s="4">
        <x:v>0</x:v>
      </x:c>
      <x:c r="H10" s="4">
        <x:v>0</x:v>
      </x:c>
    </x:row>
    <x:row r="11">
      <x:c r="A11" s="4">
        <x:v>0.48214299999999999</x:v>
      </x:c>
      <x:c r="B11" s="4">
        <x:v>0</x:v>
      </x:c>
      <x:c r="C11" s="4">
        <x:v>0</x:v>
      </x:c>
      <x:c r="D11" s="2"/>
      <x:c r="E11" s="2"/>
      <x:c r="F11" s="4">
        <x:v>0.45</x:v>
      </x:c>
      <x:c r="G11" s="4">
        <x:v>0</x:v>
      </x:c>
      <x:c r="H11" s="4">
        <x:v>0</x:v>
      </x:c>
    </x:row>
    <x:row r="12">
      <x:c r="A12" s="4">
        <x:v>0.80357100000000004</x:v>
      </x:c>
      <x:c r="B12" s="4">
        <x:v>0</x:v>
      </x:c>
      <x:c r="C12" s="4">
        <x:v>0</x:v>
      </x:c>
      <x:c r="D12" s="2"/>
      <x:c r="E12" s="2"/>
      <x:c r="F12" s="4">
        <x:v>0.75</x:v>
      </x:c>
      <x:c r="G12" s="4">
        <x:v>0</x:v>
      </x:c>
      <x:c r="H12" s="4">
        <x:v>0</x:v>
      </x:c>
    </x:row>
    <x:row r="13">
      <x:c r="A13" s="4">
        <x:v>1.125</x:v>
      </x:c>
      <x:c r="B13" s="4">
        <x:v>0</x:v>
      </x:c>
      <x:c r="C13" s="4">
        <x:v>0</x:v>
      </x:c>
      <x:c r="D13" s="2"/>
      <x:c r="E13" s="2"/>
      <x:c r="F13" s="4">
        <x:v>1.05</x:v>
      </x:c>
      <x:c r="G13" s="4">
        <x:v>0</x:v>
      </x:c>
      <x:c r="H13" s="4">
        <x:v>0</x:v>
      </x:c>
    </x:row>
    <x:row r="14">
      <x:c r="A14" s="4">
        <x:v>1.4464300000000001</x:v>
      </x:c>
      <x:c r="B14" s="4">
        <x:v>0</x:v>
      </x:c>
      <x:c r="C14" s="4">
        <x:v>0</x:v>
      </x:c>
      <x:c r="D14" s="2"/>
      <x:c r="E14" s="2"/>
      <x:c r="F14" s="4">
        <x:v>1.35</x:v>
      </x:c>
      <x:c r="G14" s="4">
        <x:v>0</x:v>
      </x:c>
      <x:c r="H14" s="4">
        <x:v>0</x:v>
      </x:c>
    </x:row>
    <x:row r="15">
      <x:c r="A15" s="4">
        <x:v>1.76786</x:v>
      </x:c>
      <x:c r="B15" s="4">
        <x:v>5.8482399999999997</x:v>
      </x:c>
      <x:c r="C15" s="4">
        <x:v>4.8612399999999996</x:v>
      </x:c>
      <x:c r="D15" s="2"/>
      <x:c r="E15" s="2"/>
      <x:c r="F15" s="4">
        <x:v>1.65</x:v>
      </x:c>
      <x:c r="G15" s="4">
        <x:v>1.04355E-2</x:v>
      </x:c>
      <x:c r="H15" s="4">
        <x:v>4.53719E-3</x:v>
      </x:c>
    </x:row>
    <x:row r="16">
      <x:c r="A16" s="4">
        <x:v>2.0892900000000001</x:v>
      </x:c>
      <x:c r="B16" s="4">
        <x:v>16.822299999999998</x:v>
      </x:c>
      <x:c r="C16" s="4">
        <x:v>16.081499999999998</x:v>
      </x:c>
      <x:c r="D16" s="2"/>
      <x:c r="E16" s="2"/>
      <x:c r="F16" s="4">
        <x:v>1.95</x:v>
      </x:c>
      <x:c r="G16" s="4">
        <x:v>7.3734000000000002</x:v>
      </x:c>
      <x:c r="H16" s="4">
        <x:v>5.7368199999999998</x:v>
      </x:c>
    </x:row>
    <x:row r="17">
      <x:c r="A17" s="4">
        <x:v>2.4107099999999999</x:v>
      </x:c>
      <x:c r="B17" s="4">
        <x:v>1.17225</x:v>
      </x:c>
      <x:c r="C17" s="4">
        <x:v>2.11076</x:v>
      </x:c>
      <x:c r="D17" s="2"/>
      <x:c r="E17" s="2"/>
      <x:c r="F17" s="4">
        <x:v>2.25</x:v>
      </x:c>
      <x:c r="G17" s="4">
        <x:v>9.7878100000000003</x:v>
      </x:c>
      <x:c r="H17" s="4">
        <x:v>9.3246000000000002</x:v>
      </x:c>
    </x:row>
    <x:row r="18">
      <x:c r="A18" s="4">
        <x:v>2.7321399999999998</x:v>
      </x:c>
      <x:c r="B18" s="4">
        <x:v>0.22084400000000001</x:v>
      </x:c>
      <x:c r="C18" s="4">
        <x:v>0.342497</x:v>
      </x:c>
      <x:c r="D18" s="2"/>
      <x:c r="E18" s="2"/>
      <x:c r="F18" s="4">
        <x:v>2.5499999999999998</x:v>
      </x:c>
      <x:c r="G18" s="4">
        <x:v>2.7863099999999998</x:v>
      </x:c>
      <x:c r="H18" s="4">
        <x:v>3.2760600000000002</x:v>
      </x:c>
    </x:row>
    <x:row r="19">
      <x:c r="A19" s="4">
        <x:v>3.0535700000000001</x:v>
      </x:c>
      <x:c r="B19" s="4">
        <x:v>0.14438400000000001</x:v>
      </x:c>
      <x:c r="C19" s="4">
        <x:v>0.18981999999999999</x:v>
      </x:c>
      <x:c r="D19" s="2"/>
      <x:c r="E19" s="2"/>
      <x:c r="F19" s="4">
        <x:v>2.85</x:v>
      </x:c>
      <x:c r="G19" s="4">
        <x:v>1.0058499999999999</x:v>
      </x:c>
      <x:c r="H19" s="4">
        <x:v>1.24627</x:v>
      </x:c>
    </x:row>
    <x:row r="20">
      <x:c r="A20" s="4">
        <x:v>3.375</x:v>
      </x:c>
      <x:c r="B20" s="4">
        <x:v>0.23200200000000001</x:v>
      </x:c>
      <x:c r="C20" s="4">
        <x:v>0.25626100000000002</x:v>
      </x:c>
      <x:c r="D20" s="2"/>
      <x:c r="E20" s="2"/>
      <x:c r="F20" s="4">
        <x:v>3.15</x:v>
      </x:c>
      <x:c r="G20" s="4">
        <x:v>0.612591</x:v>
      </x:c>
      <x:c r="H20" s="4">
        <x:v>0.751799</x:v>
      </x:c>
    </x:row>
    <x:row r="21">
      <x:c r="A21" s="4">
        <x:v>3.6964299999999999</x:v>
      </x:c>
      <x:c r="B21" s="4">
        <x:v>0.47301100000000001</x:v>
      </x:c>
      <x:c r="C21" s="4">
        <x:v>0.50040700000000005</x:v>
      </x:c>
      <x:c r="D21" s="2"/>
      <x:c r="E21" s="2"/>
      <x:c r="F21" s="4">
        <x:v>3.45</x:v>
      </x:c>
      <x:c r="G21" s="4">
        <x:v>0.66935100000000003</x:v>
      </x:c>
      <x:c r="H21" s="4">
        <x:v>0.71126400000000001</x:v>
      </x:c>
    </x:row>
    <x:row r="22">
      <x:c r="A22" s="4">
        <x:v>4.0178599999999998</x:v>
      </x:c>
      <x:c r="B22" s="4">
        <x:v>0.66757299999999997</x:v>
      </x:c>
      <x:c r="C22" s="4">
        <x:v>0.68168799999999996</x:v>
      </x:c>
      <x:c r="D22" s="2"/>
      <x:c r="E22" s="2"/>
      <x:c r="F22" s="4">
        <x:v>3.75</x:v>
      </x:c>
      <x:c r="G22" s="4">
        <x:v>0.99893399999999999</x:v>
      </x:c>
      <x:c r="H22" s="4">
        <x:v>0.99506099999999997</x:v>
      </x:c>
    </x:row>
    <x:row r="23">
      <x:c r="A23" s="4">
        <x:v>4.3392900000000001</x:v>
      </x:c>
      <x:c r="B23" s="4">
        <x:v>0.72926500000000005</x:v>
      </x:c>
      <x:c r="C23" s="4">
        <x:v>0.67876999999999998</x:v>
      </x:c>
      <x:c r="D23" s="2"/>
      <x:c r="E23" s="2"/>
      <x:c r="F23" s="4">
        <x:v>4.05</x:v>
      </x:c>
      <x:c r="G23" s="4">
        <x:v>1.5811900000000001</x:v>
      </x:c>
      <x:c r="H23" s="4">
        <x:v>1.5043500000000001</x:v>
      </x:c>
    </x:row>
    <x:row r="24">
      <x:c r="A24" s="4">
        <x:v>4.6607099999999999</x:v>
      </x:c>
      <x:c r="B24" s="4">
        <x:v>0.63258800000000004</x:v>
      </x:c>
      <x:c r="C24" s="4">
        <x:v>0.59081499999999998</x:v>
      </x:c>
      <x:c r="D24" s="2"/>
      <x:c r="E24" s="2"/>
      <x:c r="F24" s="4">
        <x:v>4.3499999999999996</x:v>
      </x:c>
      <x:c r="G24" s="4">
        <x:v>2.29298</x:v>
      </x:c>
      <x:c r="H24" s="4">
        <x:v>2.1088499999999999</x:v>
      </x:c>
    </x:row>
    <x:row r="25">
      <x:c r="A25" s="4">
        <x:v>4.9821400000000002</x:v>
      </x:c>
      <x:c r="B25" s="4">
        <x:v>0.51678599999999997</x:v>
      </x:c>
      <x:c r="C25" s="4">
        <x:v>0.50473699999999999</x:v>
      </x:c>
      <x:c r="D25" s="2"/>
      <x:c r="E25" s="2"/>
      <x:c r="F25" s="4">
        <x:v>4.6500000000000004</x:v>
      </x:c>
      <x:c r="G25" s="4">
        <x:v>1.9453100000000001</x:v>
      </x:c>
      <x:c r="H25" s="4">
        <x:v>1.95722</x:v>
      </x:c>
    </x:row>
    <x:row r="26">
      <x:c r="A26" s="4">
        <x:v>5.3035699999999997</x:v>
      </x:c>
      <x:c r="B26" s="4">
        <x:v>0.51442399999999999</x:v>
      </x:c>
      <x:c r="C26" s="4">
        <x:v>0.50641999999999998</x:v>
      </x:c>
      <x:c r="D26" s="2"/>
      <x:c r="E26" s="2"/>
      <x:c r="F26" s="4">
        <x:v>4.95</x:v>
      </x:c>
      <x:c r="G26" s="4">
        <x:v>1.3553900000000001</x:v>
      </x:c>
      <x:c r="H26" s="4">
        <x:v>1.4373100000000001</x:v>
      </x:c>
    </x:row>
    <x:row r="27">
      <x:c r="A27" s="4">
        <x:v>5.625</x:v>
      </x:c>
      <x:c r="B27" s="4">
        <x:v>0.69610300000000003</x:v>
      </x:c>
      <x:c r="C27" s="4">
        <x:v>0.64518299999999995</x:v>
      </x:c>
      <x:c r="D27" s="2"/>
      <x:c r="E27" s="2"/>
      <x:c r="F27" s="4">
        <x:v>5.25</x:v>
      </x:c>
      <x:c r="G27" s="4">
        <x:v>1.4023300000000001</x:v>
      </x:c>
      <x:c r="H27" s="4">
        <x:v>1.4260900000000001</x:v>
      </x:c>
    </x:row>
    <x:row r="28">
      <x:c r="A28" s="4">
        <x:v>5.9464300000000003</x:v>
      </x:c>
      <x:c r="B28" s="4">
        <x:v>0.92266199999999998</x:v>
      </x:c>
      <x:c r="C28" s="4">
        <x:v>0.84209599999999996</x:v>
      </x:c>
      <x:c r="D28" s="2"/>
      <x:c r="E28" s="2"/>
      <x:c r="F28" s="4">
        <x:v>5.55</x:v>
      </x:c>
      <x:c r="G28" s="4">
        <x:v>1.7553799999999999</x:v>
      </x:c>
      <x:c r="H28" s="4">
        <x:v>1.7097500000000001</x:v>
      </x:c>
    </x:row>
    <x:row r="29">
      <x:c r="A29" s="4">
        <x:v>6.2678599999999998</x:v>
      </x:c>
      <x:c r="B29" s="4">
        <x:v>0.93137800000000004</x:v>
      </x:c>
      <x:c r="C29" s="4">
        <x:v>0.91386699999999998</x:v>
      </x:c>
      <x:c r="D29" s="2"/>
      <x:c r="E29" s="2"/>
      <x:c r="F29" s="4">
        <x:v>5.85</x:v>
      </x:c>
      <x:c r="G29" s="4">
        <x:v>2.2831700000000001</x:v>
      </x:c>
      <x:c r="H29" s="4">
        <x:v>2.1771099999999999</x:v>
      </x:c>
    </x:row>
    <x:row r="30">
      <x:c r="A30" s="4">
        <x:v>6.5892900000000001</x:v>
      </x:c>
      <x:c r="B30" s="4">
        <x:v>0.84763299999999997</x:v>
      </x:c>
      <x:c r="C30" s="4">
        <x:v>0.84967800000000004</x:v>
      </x:c>
      <x:c r="D30" s="2"/>
      <x:c r="E30" s="2"/>
      <x:c r="F30" s="4">
        <x:v>6.15</x:v>
      </x:c>
      <x:c r="G30" s="4">
        <x:v>2.5543200000000001</x:v>
      </x:c>
      <x:c r="H30" s="4">
        <x:v>2.53091</x:v>
      </x:c>
    </x:row>
    <x:row r="31">
      <x:c r="A31" s="4">
        <x:v>6.9107099999999999</x:v>
      </x:c>
      <x:c r="B31" s="4">
        <x:v>0.80449499999999996</x:v>
      </x:c>
      <x:c r="C31" s="4">
        <x:v>0.81354700000000002</x:v>
      </x:c>
      <x:c r="D31" s="2"/>
      <x:c r="E31" s="2"/>
      <x:c r="F31" s="4">
        <x:v>6.45</x:v>
      </x:c>
      <x:c r="G31" s="4">
        <x:v>2.2971200000000001</x:v>
      </x:c>
      <x:c r="H31" s="4">
        <x:v>2.38035</x:v>
      </x:c>
    </x:row>
    <x:row r="32">
      <x:c r="A32" s="4">
        <x:v>7.2321400000000002</x:v>
      </x:c>
      <x:c r="B32" s="4">
        <x:v>0.82384900000000005</x:v>
      </x:c>
      <x:c r="C32" s="4">
        <x:v>0.82516699999999998</x:v>
      </x:c>
      <x:c r="D32" s="2"/>
      <x:c r="E32" s="2"/>
      <x:c r="F32" s="4">
        <x:v>6.75</x:v>
      </x:c>
      <x:c r="G32" s="4">
        <x:v>1.93452</x:v>
      </x:c>
      <x:c r="H32" s="4">
        <x:v>2.0202800000000001</x:v>
      </x:c>
    </x:row>
    <x:row r="33">
      <x:c r="A33" s="4">
        <x:v>7.5535699999999997</x:v>
      </x:c>
      <x:c r="B33" s="4">
        <x:v>0.85981300000000005</x:v>
      </x:c>
      <x:c r="C33" s="4">
        <x:v>0.85876799999999998</x:v>
      </x:c>
      <x:c r="D33" s="2"/>
      <x:c r="E33" s="2"/>
      <x:c r="F33" s="4">
        <x:v>7.05</x:v>
      </x:c>
      <x:c r="G33" s="4">
        <x:v>1.7544500000000001</x:v>
      </x:c>
      <x:c r="H33" s="4">
        <x:v>1.7908500000000001</x:v>
      </x:c>
    </x:row>
    <x:row r="34">
      <x:c r="A34" s="4">
        <x:v>7.875</x:v>
      </x:c>
      <x:c r="B34" s="4">
        <x:v>0.87937100000000001</x:v>
      </x:c>
      <x:c r="C34" s="4">
        <x:v>0.87493500000000002</x:v>
      </x:c>
      <x:c r="D34" s="2"/>
      <x:c r="E34" s="2"/>
      <x:c r="F34" s="4">
        <x:v>7.35</x:v>
      </x:c>
      <x:c r="G34" s="4">
        <x:v>1.7147699999999999</x:v>
      </x:c>
      <x:c r="H34" s="4">
        <x:v>1.6992499999999999</x:v>
      </x:c>
    </x:row>
    <x:row r="35">
      <x:c r="A35" s="4">
        <x:v>8.1964299999999994</x:v>
      </x:c>
      <x:c r="B35" s="4">
        <x:v>0.89578899999999995</x:v>
      </x:c>
      <x:c r="C35" s="4">
        <x:v>0.88655300000000004</x:v>
      </x:c>
      <x:c r="D35" s="2"/>
      <x:c r="E35" s="2"/>
      <x:c r="F35" s="4">
        <x:v>7.65</x:v>
      </x:c>
      <x:c r="G35" s="4">
        <x:v>1.7383500000000001</x:v>
      </x:c>
      <x:c r="H35" s="4">
        <x:v>1.72336</x:v>
      </x:c>
    </x:row>
    <x:row r="36">
      <x:c r="A36" s="4">
        <x:v>8.5178600000000007</x:v>
      </x:c>
      <x:c r="B36" s="4">
        <x:v>0.90205299999999999</x:v>
      </x:c>
      <x:c r="C36" s="4">
        <x:v>0.89977799999999997</x:v>
      </x:c>
      <x:c r="D36" s="2"/>
      <x:c r="E36" s="2"/>
      <x:c r="F36" s="4">
        <x:v>7.95</x:v>
      </x:c>
      <x:c r="G36" s="4">
        <x:v>1.81324</x:v>
      </x:c>
      <x:c r="H36" s="4">
        <x:v>1.7887500000000001</x:v>
      </x:c>
    </x:row>
    <x:row r="37">
      <x:c r="A37" s="4">
        <x:v>8.8392900000000001</x:v>
      </x:c>
      <x:c r="B37" s="4">
        <x:v>0.89525900000000003</x:v>
      </x:c>
      <x:c r="C37" s="4">
        <x:v>0.88928799999999997</x:v>
      </x:c>
      <x:c r="D37" s="2"/>
      <x:c r="E37" s="2"/>
      <x:c r="F37" s="4">
        <x:v>8.25</x:v>
      </x:c>
      <x:c r="G37" s="4">
        <x:v>1.8597600000000001</x:v>
      </x:c>
      <x:c r="H37" s="4">
        <x:v>1.8314900000000001</x:v>
      </x:c>
    </x:row>
    <x:row r="38">
      <x:c r="A38" s="4">
        <x:v>9.1607099999999999</x:v>
      </x:c>
      <x:c r="B38" s="4">
        <x:v>0.87735200000000002</x:v>
      </x:c>
      <x:c r="C38" s="4">
        <x:v>0.875892</x:v>
      </x:c>
      <x:c r="D38" s="2"/>
      <x:c r="E38" s="2"/>
      <x:c r="F38" s="4">
        <x:v>8.5500000000000007</x:v>
      </x:c>
      <x:c r="G38" s="4">
        <x:v>1.8303799999999999</x:v>
      </x:c>
      <x:c r="H38" s="4">
        <x:v>1.8187800000000001</x:v>
      </x:c>
    </x:row>
    <x:row r="39">
      <x:c r="A39" s="4">
        <x:v>9.4821399999999993</x:v>
      </x:c>
      <x:c r="B39" s="4">
        <x:v>0.87002299999999999</x:v>
      </x:c>
      <x:c r="C39" s="4">
        <x:v>0.86004100000000006</x:v>
      </x:c>
      <x:c r="D39" s="2"/>
      <x:c r="E39" s="2"/>
      <x:c r="F39" s="4">
        <x:v>8.85</x:v>
      </x:c>
      <x:c r="G39" s="4">
        <x:v>1.71217</x:v>
      </x:c>
      <x:c r="H39" s="4">
        <x:v>1.7401199999999999</x:v>
      </x:c>
    </x:row>
    <x:row r="40">
      <x:c r="A40" s="4">
        <x:v>9.8035700000000006</x:v>
      </x:c>
      <x:c r="B40" s="4">
        <x:v>0.88125799999999999</x:v>
      </x:c>
      <x:c r="C40" s="4">
        <x:v>0.86763299999999999</x:v>
      </x:c>
      <x:c r="D40" s="2"/>
      <x:c r="E40" s="2"/>
      <x:c r="F40" s="4">
        <x:v>9.15</x:v>
      </x:c>
      <x:c r="G40" s="4">
        <x:v>1.64408</x:v>
      </x:c>
      <x:c r="H40" s="4">
        <x:v>1.66584</x:v>
      </x:c>
    </x:row>
    <x:row r="41">
      <x:c r="A41" s="4">
        <x:v>10.125</x:v>
      </x:c>
      <x:c r="B41" s="4">
        <x:v>0.89785099999999995</x:v>
      </x:c>
      <x:c r="C41" s="4">
        <x:v>0.88570400000000005</x:v>
      </x:c>
      <x:c r="D41" s="2"/>
      <x:c r="E41" s="2"/>
      <x:c r="F41" s="4">
        <x:v>9.4499999999999993</x:v>
      </x:c>
      <x:c r="G41" s="4">
        <x:v>1.60911</x:v>
      </x:c>
      <x:c r="H41" s="4">
        <x:v>1.6292500000000001</x:v>
      </x:c>
    </x:row>
    <x:row r="42">
      <x:c r="A42" s="4">
        <x:v>10.446400000000001</x:v>
      </x:c>
      <x:c r="B42" s="4">
        <x:v>0.91712499999999997</x:v>
      </x:c>
      <x:c r="C42" s="4">
        <x:v>0.90441300000000002</x:v>
      </x:c>
      <x:c r="D42" s="2"/>
      <x:c r="E42" s="2"/>
      <x:c r="F42" s="4">
        <x:v>9.75</x:v>
      </x:c>
      <x:c r="G42" s="4">
        <x:v>1.5926499999999999</x:v>
      </x:c>
      <x:c r="H42" s="4">
        <x:v>1.5827899999999999</x:v>
      </x:c>
    </x:row>
    <x:row r="43">
      <x:c r="A43" s="4">
        <x:v>10.767899999999999</x:v>
      </x:c>
      <x:c r="B43" s="4">
        <x:v>0.93870900000000002</x:v>
      </x:c>
      <x:c r="C43" s="4">
        <x:v>0.92557299999999998</x:v>
      </x:c>
      <x:c r="D43" s="2"/>
      <x:c r="E43" s="2"/>
      <x:c r="F43" s="4">
        <x:v>10.050000000000001</x:v>
      </x:c>
      <x:c r="G43" s="4">
        <x:v>1.5837600000000001</x:v>
      </x:c>
      <x:c r="H43" s="4">
        <x:v>1.5738799999999999</x:v>
      </x:c>
    </x:row>
    <x:row r="44">
      <x:c r="A44" s="4">
        <x:v>11.0893</x:v>
      </x:c>
      <x:c r="B44" s="4">
        <x:v>0.95263900000000001</x:v>
      </x:c>
      <x:c r="C44" s="4">
        <x:v>0.94211100000000003</x:v>
      </x:c>
      <x:c r="D44" s="2"/>
      <x:c r="E44" s="2"/>
      <x:c r="F44" s="4">
        <x:v>10.35</x:v>
      </x:c>
      <x:c r="G44" s="4">
        <x:v>1.57789</x:v>
      </x:c>
      <x:c r="H44" s="4">
        <x:v>1.56298</x:v>
      </x:c>
    </x:row>
    <x:row r="45">
      <x:c r="A45" s="4">
        <x:v>11.4107</x:v>
      </x:c>
      <x:c r="B45" s="4">
        <x:v>0.97220399999999996</x:v>
      </x:c>
      <x:c r="C45" s="4">
        <x:v>0.96031500000000003</x:v>
      </x:c>
      <x:c r="D45" s="2"/>
      <x:c r="E45" s="2"/>
      <x:c r="F45" s="4">
        <x:v>10.65</x:v>
      </x:c>
      <x:c r="G45" s="4">
        <x:v>1.5503899999999999</x:v>
      </x:c>
      <x:c r="H45" s="4">
        <x:v>1.54549</x:v>
      </x:c>
    </x:row>
    <x:row r="46">
      <x:c r="A46" s="4">
        <x:v>11.732100000000001</x:v>
      </x:c>
      <x:c r="B46" s="4">
        <x:v>0.98218099999999997</x:v>
      </x:c>
      <x:c r="C46" s="4">
        <x:v>0.97298300000000004</x:v>
      </x:c>
      <x:c r="D46" s="2"/>
      <x:c r="E46" s="2"/>
      <x:c r="F46" s="4">
        <x:v>10.95</x:v>
      </x:c>
      <x:c r="G46" s="4">
        <x:v>1.50118</x:v>
      </x:c>
      <x:c r="H46" s="4">
        <x:v>1.5172000000000001</x:v>
      </x:c>
    </x:row>
    <x:row r="47">
      <x:c r="A47" s="4">
        <x:v>12.053599999999999</x:v>
      </x:c>
      <x:c r="B47" s="4">
        <x:v>0.98617999999999995</x:v>
      </x:c>
      <x:c r="C47" s="4">
        <x:v>0.97519699999999998</x:v>
      </x:c>
      <x:c r="D47" s="2"/>
      <x:c r="E47" s="2"/>
      <x:c r="F47" s="4">
        <x:v>11.25</x:v>
      </x:c>
      <x:c r="G47" s="4">
        <x:v>1.4679199999999999</x:v>
      </x:c>
      <x:c r="H47" s="4">
        <x:v>1.46818</x:v>
      </x:c>
    </x:row>
    <x:row r="48">
      <x:c r="A48" s="4">
        <x:v>12.375</x:v>
      </x:c>
      <x:c r="B48" s="4">
        <x:v>0.98280699999999999</x:v>
      </x:c>
      <x:c r="C48" s="4">
        <x:v>0.97572000000000003</x:v>
      </x:c>
      <x:c r="D48" s="2"/>
      <x:c r="E48" s="2"/>
      <x:c r="F48" s="4">
        <x:v>11.55</x:v>
      </x:c>
      <x:c r="G48" s="4">
        <x:v>1.4368000000000001</x:v>
      </x:c>
      <x:c r="H48" s="4">
        <x:v>1.4323999999999999</x:v>
      </x:c>
    </x:row>
    <x:row r="49">
      <x:c r="A49" s="4">
        <x:v>12.696400000000001</x:v>
      </x:c>
      <x:c r="B49" s="4">
        <x:v>0.97015300000000004</x:v>
      </x:c>
      <x:c r="C49" s="4">
        <x:v>0.96835800000000005</x:v>
      </x:c>
      <x:c r="D49" s="2"/>
      <x:c r="E49" s="2"/>
      <x:c r="F49" s="4">
        <x:v>11.85</x:v>
      </x:c>
      <x:c r="G49" s="4">
        <x:v>1.41178</x:v>
      </x:c>
      <x:c r="H49" s="4">
        <x:v>1.4128499999999999</x:v>
      </x:c>
    </x:row>
    <x:row r="50">
      <x:c r="A50" s="4">
        <x:v>13.017899999999999</x:v>
      </x:c>
      <x:c r="B50" s="4">
        <x:v>0.95856699999999995</x:v>
      </x:c>
      <x:c r="C50" s="4">
        <x:v>0.95426699999999998</x:v>
      </x:c>
      <x:c r="D50" s="2"/>
      <x:c r="E50" s="2"/>
      <x:c r="F50" s="4">
        <x:v>12.15</x:v>
      </x:c>
      <x:c r="G50" s="4">
        <x:v>1.3986099999999999</x:v>
      </x:c>
      <x:c r="H50" s="4">
        <x:v>1.39635</x:v>
      </x:c>
    </x:row>
    <x:row r="51">
      <x:c r="A51" s="4">
        <x:v>13.3393</x:v>
      </x:c>
      <x:c r="B51" s="4">
        <x:v>0.95321299999999998</x:v>
      </x:c>
      <x:c r="C51" s="4">
        <x:v>0.95180399999999998</x:v>
      </x:c>
      <x:c r="D51" s="2"/>
      <x:c r="E51" s="2"/>
      <x:c r="F51" s="4">
        <x:v>12.45</x:v>
      </x:c>
      <x:c r="G51" s="4">
        <x:v>1.3915299999999999</x:v>
      </x:c>
      <x:c r="H51" s="4">
        <x:v>1.39435</x:v>
      </x:c>
    </x:row>
    <x:row r="52">
      <x:c r="A52" s="4">
        <x:v>13.6607</x:v>
      </x:c>
      <x:c r="B52" s="4">
        <x:v>0.95167100000000004</x:v>
      </x:c>
      <x:c r="C52" s="4">
        <x:v>0.94784299999999999</x:v>
      </x:c>
      <x:c r="D52" s="2"/>
      <x:c r="E52" s="2"/>
      <x:c r="F52" s="4">
        <x:v>12.75</x:v>
      </x:c>
      <x:c r="G52" s="4">
        <x:v>1.38331</x:v>
      </x:c>
      <x:c r="H52" s="4">
        <x:v>1.3835900000000001</x:v>
      </x:c>
    </x:row>
    <x:row r="53">
      <x:c r="A53" s="4">
        <x:v>13.982100000000001</x:v>
      </x:c>
      <x:c r="B53" s="4">
        <x:v>0.95260400000000001</x:v>
      </x:c>
      <x:c r="C53" s="4">
        <x:v>0.94629600000000003</x:v>
      </x:c>
      <x:c r="D53" s="2"/>
      <x:c r="E53" s="2"/>
      <x:c r="F53" s="4">
        <x:v>13.05</x:v>
      </x:c>
      <x:c r="G53" s="4">
        <x:v>1.37649</x:v>
      </x:c>
      <x:c r="H53" s="4">
        <x:v>1.3748899999999999</x:v>
      </x:c>
    </x:row>
    <x:row r="54">
      <x:c r="A54" s="4">
        <x:v>14.303599999999999</x:v>
      </x:c>
      <x:c r="B54" s="4">
        <x:v>0.95605300000000004</x:v>
      </x:c>
      <x:c r="C54" s="4">
        <x:v>0.94739200000000001</x:v>
      </x:c>
      <x:c r="D54" s="2"/>
      <x:c r="E54" s="2"/>
      <x:c r="F54" s="4">
        <x:v>13.35</x:v>
      </x:c>
      <x:c r="G54" s="4">
        <x:v>1.3683000000000001</x:v>
      </x:c>
      <x:c r="H54" s="4">
        <x:v>1.37151</x:v>
      </x:c>
    </x:row>
    <x:row r="55">
      <x:c r="A55" s="4">
        <x:v>14.625</x:v>
      </x:c>
      <x:c r="B55" s="4">
        <x:v>0.95759399999999995</x:v>
      </x:c>
      <x:c r="C55" s="4">
        <x:v>0.94562100000000004</x:v>
      </x:c>
      <x:c r="D55" s="2"/>
      <x:c r="E55" s="2"/>
      <x:c r="F55" s="4">
        <x:v>13.65</x:v>
      </x:c>
      <x:c r="G55" s="4">
        <x:v>1.36161</x:v>
      </x:c>
      <x:c r="H55" s="4">
        <x:v>1.3667100000000001</x:v>
      </x:c>
    </x:row>
    <x:row r="56">
      <x:c r="A56" s="4">
        <x:v>14.946400000000001</x:v>
      </x:c>
      <x:c r="B56" s="4">
        <x:v>0.95616599999999996</x:v>
      </x:c>
      <x:c r="C56" s="4">
        <x:v>0.94811000000000001</x:v>
      </x:c>
      <x:c r="D56" s="2"/>
      <x:c r="E56" s="2"/>
      <x:c r="F56" s="4">
        <x:v>13.95</x:v>
      </x:c>
      <x:c r="G56" s="4">
        <x:v>1.35389</x:v>
      </x:c>
      <x:c r="H56" s="4">
        <x:v>1.35185</x:v>
      </x:c>
    </x:row>
    <x:row r="57">
      <x:c r="A57" s="4">
        <x:v>15.267899999999999</x:v>
      </x:c>
      <x:c r="B57" s="4">
        <x:v>0.95735000000000003</x:v>
      </x:c>
      <x:c r="C57" s="4">
        <x:v>0.94798899999999997</x:v>
      </x:c>
      <x:c r="D57" s="2"/>
      <x:c r="E57" s="2"/>
      <x:c r="F57" s="4">
        <x:v>14.25</x:v>
      </x:c>
      <x:c r="G57" s="4">
        <x:v>1.3487800000000001</x:v>
      </x:c>
      <x:c r="H57" s="4">
        <x:v>1.3381000000000001</x:v>
      </x:c>
    </x:row>
    <x:row r="58">
      <x:c r="A58" s="4">
        <x:v>15.5893</x:v>
      </x:c>
      <x:c r="B58" s="4">
        <x:v>0.95375500000000002</x:v>
      </x:c>
      <x:c r="C58" s="4">
        <x:v>0.94687299999999996</x:v>
      </x:c>
      <x:c r="D58" s="2"/>
      <x:c r="E58" s="2"/>
      <x:c r="F58" s="4">
        <x:v>14.55</x:v>
      </x:c>
      <x:c r="G58" s="4">
        <x:v>1.3304199999999999</x:v>
      </x:c>
      <x:c r="H58" s="4">
        <x:v>1.3297099999999999</x:v>
      </x:c>
    </x:row>
    <x:row r="59">
      <x:c r="A59" s="4">
        <x:v>15.9107</x:v>
      </x:c>
      <x:c r="B59" s="4">
        <x:v>0.94999599999999995</x:v>
      </x:c>
      <x:c r="C59" s="4">
        <x:v>0.94391700000000001</x:v>
      </x:c>
      <x:c r="D59" s="2"/>
      <x:c r="E59" s="2"/>
      <x:c r="F59" s="4">
        <x:v>14.85</x:v>
      </x:c>
      <x:c r="G59" s="4">
        <x:v>1.3224199999999999</x:v>
      </x:c>
      <x:c r="H59" s="4">
        <x:v>1.3253600000000001</x:v>
      </x:c>
    </x:row>
    <x:row r="60">
      <x:c r="A60" s="4">
        <x:v>16.232099999999999</x:v>
      </x:c>
      <x:c r="B60" s="4">
        <x:v>0.94924900000000001</x:v>
      </x:c>
      <x:c r="C60" s="4">
        <x:v>0.94121999999999995</x:v>
      </x:c>
      <x:c r="D60" s="2"/>
      <x:c r="E60" s="2"/>
      <x:c r="F60" s="4">
        <x:v>15.15</x:v>
      </x:c>
      <x:c r="G60" s="4">
        <x:v>1.3108200000000001</x:v>
      </x:c>
      <x:c r="H60" s="4">
        <x:v>1.31287</x:v>
      </x:c>
    </x:row>
    <x:row r="61">
      <x:c r="A61" s="4">
        <x:v>16.553599999999999</x:v>
      </x:c>
      <x:c r="B61" s="4">
        <x:v>0.94658600000000004</x:v>
      </x:c>
      <x:c r="C61" s="4">
        <x:v>0.93880600000000003</x:v>
      </x:c>
      <x:c r="D61" s="2"/>
      <x:c r="E61" s="2"/>
      <x:c r="F61" s="4">
        <x:v>15.45</x:v>
      </x:c>
      <x:c r="G61" s="4">
        <x:v>1.3049200000000001</x:v>
      </x:c>
      <x:c r="H61" s="4">
        <x:v>1.3093300000000001</x:v>
      </x:c>
    </x:row>
    <x:row r="62">
      <x:c r="A62" s="4">
        <x:v>16.875</x:v>
      </x:c>
      <x:c r="B62" s="4">
        <x:v>0.94588799999999995</x:v>
      </x:c>
      <x:c r="C62" s="4">
        <x:v>0.93856899999999999</x:v>
      </x:c>
      <x:c r="D62" s="2"/>
      <x:c r="E62" s="2"/>
      <x:c r="F62" s="4">
        <x:v>15.75</x:v>
      </x:c>
      <x:c r="G62" s="4">
        <x:v>1.30209</x:v>
      </x:c>
      <x:c r="H62" s="4">
        <x:v>1.2991299999999999</x:v>
      </x:c>
    </x:row>
    <x:row r="63">
      <x:c r="A63" s="4">
        <x:v>17.196400000000001</x:v>
      </x:c>
      <x:c r="B63" s="4">
        <x:v>0.94315899999999997</x:v>
      </x:c>
      <x:c r="C63" s="4">
        <x:v>0.937033</x:v>
      </x:c>
      <x:c r="D63" s="2"/>
      <x:c r="E63" s="2"/>
      <x:c r="F63" s="4">
        <x:v>16.05</x:v>
      </x:c>
      <x:c r="G63" s="4">
        <x:v>1.2921800000000001</x:v>
      </x:c>
      <x:c r="H63" s="4">
        <x:v>1.29291</x:v>
      </x:c>
    </x:row>
    <x:row r="64">
      <x:c r="A64" s="4">
        <x:v>17.517900000000001</x:v>
      </x:c>
      <x:c r="B64" s="4">
        <x:v>0.94170500000000001</x:v>
      </x:c>
      <x:c r="C64" s="4">
        <x:v>0.93832899999999997</x:v>
      </x:c>
      <x:c r="D64" s="2"/>
      <x:c r="E64" s="2"/>
      <x:c r="F64" s="4">
        <x:v>16.350000000000001</x:v>
      </x:c>
      <x:c r="G64" s="4">
        <x:v>1.2899400000000001</x:v>
      </x:c>
      <x:c r="H64" s="4">
        <x:v>1.2888200000000001</x:v>
      </x:c>
    </x:row>
    <x:row r="65">
      <x:c r="A65" s="4">
        <x:v>17.839300000000001</x:v>
      </x:c>
      <x:c r="B65" s="4">
        <x:v>0.94420199999999999</x:v>
      </x:c>
      <x:c r="C65" s="4">
        <x:v>0.93824600000000002</x:v>
      </x:c>
      <x:c r="D65" s="2"/>
      <x:c r="E65" s="2"/>
      <x:c r="F65" s="4">
        <x:v>16.649999999999999</x:v>
      </x:c>
      <x:c r="G65" s="4">
        <x:v>1.28409</x:v>
      </x:c>
      <x:c r="H65" s="4">
        <x:v>1.2810900000000001</x:v>
      </x:c>
    </x:row>
    <x:row r="66">
      <x:c r="A66" s="2"/>
      <x:c r="B66" s="2"/>
      <x:c r="C66" s="2"/>
      <x:c r="D66" s="2"/>
      <x:c r="E66" s="2"/>
      <x:c r="F66" s="4">
        <x:v>16.95</x:v>
      </x:c>
      <x:c r="G66" s="4">
        <x:v>1.27407</x:v>
      </x:c>
      <x:c r="H66" s="4">
        <x:v>1.2796799999999999</x:v>
      </x:c>
    </x:row>
    <x:row r="67">
      <x:c r="A67" s="2"/>
      <x:c r="B67" s="2"/>
      <x:c r="C67" s="2"/>
      <x:c r="D67" s="2"/>
      <x:c r="E67" s="2"/>
      <x:c r="F67" s="4">
        <x:v>17.25</x:v>
      </x:c>
      <x:c r="G67" s="4">
        <x:v>1.27121</x:v>
      </x:c>
      <x:c r="H67" s="4">
        <x:v>1.27532</x:v>
      </x:c>
    </x:row>
    <x:row r="68">
      <x:c r="A68" s="2"/>
      <x:c r="B68" s="2"/>
      <x:c r="C68" s="2"/>
      <x:c r="D68" s="2"/>
      <x:c r="E68" s="2"/>
      <x:c r="F68" s="4">
        <x:v>17.55</x:v>
      </x:c>
      <x:c r="G68" s="4">
        <x:v>1.2673099999999999</x:v>
      </x:c>
      <x:c r="H68" s="4">
        <x:v>1.26518</x:v>
      </x:c>
    </x:row>
    <x:row r="69">
      <x:c r="A69" s="2"/>
      <x:c r="B69" s="2"/>
      <x:c r="C69" s="2"/>
      <x:c r="D69" s="2"/>
      <x:c r="E69" s="2"/>
      <x:c r="F69" s="4">
        <x:v>17.850000000000001</x:v>
      </x:c>
      <x:c r="G69" s="4">
        <x:v>1.26393</x:v>
      </x:c>
      <x:c r="H69" s="4">
        <x:v>1.2654799999999999</x:v>
      </x:c>
    </x:row>
  </x:sheetData>
  <x:mergeCells>
    <x:mergeCell ref="A3:G3"/>
    <x:mergeCell ref="A1:G2"/>
  </x:mergeCells>
  <x:pageMargins left="0.7" right="0.7" top="0.75" bottom="0.75" header="0.3" footer="0.3"/>
</x:worksheet>
</file>