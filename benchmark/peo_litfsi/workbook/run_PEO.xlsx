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45435cc0f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EAR" sheetId="1" r:id="Rdffa962242854830"/>
    <x:sheet xmlns:r="http://schemas.openxmlformats.org/officeDocument/2006/relationships" name="STRONG" sheetId="2" r:id="R31fa5bb14ee3407e"/>
    <x:sheet xmlns:r="http://schemas.openxmlformats.org/officeDocument/2006/relationships" name="WEAK" sheetId="3" r:id="R47757589c48344a3"/>
    <x:sheet xmlns:r="http://schemas.openxmlformats.org/officeDocument/2006/relationships" name="RDF" sheetId="4" r:id="R45a88569408b4e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00"/>
  </x:numFmts>
  <x:fonts count="5">
    <x:font>
      <x:sz val="11"/>
      <x:name val="Carlito"/>
    </x:font>
    <x:font>
      <x:b/>
      <x:sz val="13"/>
      <x:color rgb="FFFFFFFF"/>
      <x:name val="Arial"/>
    </x:font>
    <x:font>
      <x:sz val="10"/>
      <x:color rgb="FF1F2933"/>
      <x:name val="Arial"/>
    </x:font>
    <x:font>
      <x:b/>
      <x:sz val="10"/>
      <x:color rgb="FF1F2933"/>
      <x:name val="Arial"/>
    </x:font>
    <x:font>
      <x:i/>
      <x:sz val="10"/>
      <x:color rgb="FF1F293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A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B8C7D3"/>
      </x:left>
      <x:right style="thin">
        <x:color rgb="FFB8C7D3"/>
      </x:right>
      <x:top style="thin">
        <x:color rgb="FFB8C7D3"/>
      </x:top>
      <x:bottom style="thin">
        <x:color rgb="FFB8C7D3"/>
      </x:bottom>
    </x:border>
    <x:border>
      <x:left style="thin">
        <x:color rgb="FFDCE3E8"/>
      </x:left>
      <x:right style="thin">
        <x:color rgb="FFDCE3E8"/>
      </x:right>
      <x:top style="thin">
        <x:color rgb="FFDCE3E8"/>
      </x:top>
      <x:bottom style="thin">
        <x:color rgb="FFDCE3E8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75e345570341a4" /><Relationship Type="http://schemas.openxmlformats.org/officeDocument/2006/relationships/theme" Target="/xl/theme/theme1.xml" Id="R76d8c5013a4945ae" /><Relationship Type="http://schemas.openxmlformats.org/officeDocument/2006/relationships/sharedStrings" Target="/xl/sharedStrings.xml" Id="R2b7aa17b5d27471a" /><Relationship Type="http://schemas.openxmlformats.org/officeDocument/2006/relationships/worksheet" Target="/xl/worksheets/sheet1.xml" Id="Rdffa962242854830" /><Relationship Type="http://schemas.openxmlformats.org/officeDocument/2006/relationships/worksheet" Target="/xl/worksheets/sheet2.xml" Id="R31fa5bb14ee3407e" /><Relationship Type="http://schemas.openxmlformats.org/officeDocument/2006/relationships/worksheet" Target="/xl/worksheets/sheet3.xml" Id="R47757589c48344a3" /><Relationship Type="http://schemas.openxmlformats.org/officeDocument/2006/relationships/worksheet" Target="/xl/worksheets/sheet4.xml" Id="R45a88569408b4e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28" customHeight="1">
      <x:c r="A1" s="5" t="str">
        <x:v>PEO–LiTFSI — linear complexity</x:v>
      </x:c>
      <x:c r="B1" s="5"/>
      <x:c r="C1" s="5"/>
      <x:c r="D1" s="5"/>
    </x:row>
    <x:row r="2" ht="32" customHeight="1">
      <x:c r="A2" s="10" t="str">
        <x:v>1 node, 4 DCUs; OPLS parameterization; RBL rs=12 angstrom, rc=6 angstrom, p=200; RBE P=200; dt=0.5 fs</x:v>
      </x:c>
      <x:c r="B2" s="10"/>
      <x:c r="C2" s="10"/>
      <x:c r="D2" s="10"/>
    </x:row>
    <x:row r="3" ht="26" customHeight="1">
      <x:c r="A3" s="16" t="str">
        <x:v>Atom count</x:v>
      </x:c>
      <x:c r="B3" s="16" t="str">
        <x:v>Short-range time (s/step)</x:v>
      </x:c>
      <x:c r="C3" s="16" t="str">
        <x:v>Long-range time (s/step)</x:v>
      </x:c>
      <x:c r="D3" s="16" t="str">
        <x:v>Total nonbonded time (s/step)</x:v>
      </x:c>
    </x:row>
    <x:row r="4">
      <x:c r="A4" s="20" t="n">
        <x:v>1000000</x:v>
      </x:c>
      <x:c r="B4" s="21" t="n">
        <x:v>0.014935</x:v>
      </x:c>
      <x:c r="C4" s="21" t="n">
        <x:v>0.003592</x:v>
      </x:c>
      <x:c r="D4" s="21" t="n">
        <x:f>B4+C4</x:f>
        <x:v>0.018527000000000002</x:v>
      </x:c>
    </x:row>
    <x:row r="5">
      <x:c r="A5" s="20" t="n">
        <x:v>2000000</x:v>
      </x:c>
      <x:c r="B5" s="21" t="n">
        <x:v>0.026295</x:v>
      </x:c>
      <x:c r="C5" s="21" t="n">
        <x:v>0.004992</x:v>
      </x:c>
      <x:c r="D5" s="21" t="n">
        <x:f>B5+C5</x:f>
        <x:v>0.031286999999999995</x:v>
      </x:c>
    </x:row>
    <x:row r="6">
      <x:c r="A6" s="20" t="n">
        <x:v>4000000</x:v>
      </x:c>
      <x:c r="B6" s="21" t="n">
        <x:v>0.051513</x:v>
      </x:c>
      <x:c r="C6" s="21" t="n">
        <x:v>0.008167</x:v>
      </x:c>
      <x:c r="D6" s="21" t="n">
        <x:f>B6+C6</x:f>
        <x:v>0.059680000000000004</x:v>
      </x:c>
    </x:row>
    <x:row r="7">
      <x:c r="A7" s="20" t="n">
        <x:v>8000000</x:v>
      </x:c>
      <x:c r="B7" s="21" t="n">
        <x:v>0.093115</x:v>
      </x:c>
      <x:c r="C7" s="21" t="n">
        <x:v>0.013712</x:v>
      </x:c>
      <x:c r="D7" s="21" t="n">
        <x:f>B7+C7</x:f>
        <x:v>0.106827</x:v>
      </x:c>
    </x:row>
    <x:row r="8">
      <x:c r="A8" s="20" t="n">
        <x:v>16000000</x:v>
      </x:c>
      <x:c r="B8" s="21" t="n">
        <x:v>0.184829</x:v>
      </x:c>
      <x:c r="C8" s="21" t="n">
        <x:v>0.025585</x:v>
      </x:c>
      <x:c r="D8" s="21" t="n">
        <x:f>B8+C8</x:f>
        <x:v>0.210414</x:v>
      </x:c>
    </x:row>
    <x:row r="9">
      <x:c r="A9" s="20" t="n">
        <x:v>32000000</x:v>
      </x:c>
      <x:c r="B9" s="21" t="n">
        <x:v>0.369827</x:v>
      </x:c>
      <x:c r="C9" s="21" t="n">
        <x:v>0.049041</x:v>
      </x:c>
      <x:c r="D9" s="21" t="n">
        <x:f>B9+C9</x:f>
        <x:v>0.418868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8" customHeight="1">
      <x:c r="A1" s="5" t="str">
        <x:v>PEO–LiTFSI — strong scaling</x:v>
      </x:c>
      <x:c r="B1" s="5"/>
      <x:c r="C1" s="5"/>
      <x:c r="D1" s="5"/>
      <x:c r="E1" s="5"/>
    </x:row>
    <x:row r="2" ht="32" customHeight="1">
      <x:c r="A2" s="10" t="str">
        <x:v>OPLS parameterization; RBL rs=12 angstrom, rc=6 angstrom, p=200; RBE P=200; dt=0.5 fs; 4 DCUs/node</x:v>
      </x:c>
      <x:c r="B2" s="10"/>
      <x:c r="C2" s="10"/>
      <x:c r="D2" s="10"/>
      <x:c r="E2" s="10"/>
    </x:row>
    <x:row r="3" ht="24" customHeight="1">
      <x:c r="A3" s="26" t="str">
        <x:v>Fixed system size: approximately 4,000,000 atoms</x:v>
      </x:c>
      <x:c r="B3" s="26"/>
      <x:c r="C3" s="26"/>
      <x:c r="D3" s="26"/>
      <x:c r="E3" s="26"/>
    </x:row>
    <x:row r="4" ht="26" customHeight="1">
      <x:c r="A4" s="16" t="str">
        <x:v>Resources</x:v>
      </x:c>
      <x:c r="B4" s="16" t="str">
        <x:v>LAMMPS-Kokkos total</x:v>
      </x:c>
      <x:c r="C4" s="16" t="str">
        <x:v>RBMD 2.0</x:v>
      </x:c>
      <x:c r="D4" s="16"/>
      <x:c r="E4" s="16"/>
    </x:row>
    <x:row r="5" ht="26" customHeight="1">
      <x:c r="A5" s="16"/>
      <x:c r="B5" s="16"/>
      <x:c r="C5" s="16" t="str">
        <x:v>Short range</x:v>
      </x:c>
      <x:c r="D5" s="16" t="str">
        <x:v>Long range</x:v>
      </x:c>
      <x:c r="E5" s="16" t="str">
        <x:v>Total</x:v>
      </x:c>
    </x:row>
    <x:row r="6">
      <x:c r="A6" s="19" t="str">
        <x:v>4GPU</x:v>
      </x:c>
      <x:c r="B6" s="21" t="n">
        <x:v>0.1382155</x:v>
      </x:c>
      <x:c r="C6" s="21" t="n">
        <x:v>0.051452</x:v>
      </x:c>
      <x:c r="D6" s="21" t="n">
        <x:v>0.008121</x:v>
      </x:c>
      <x:c r="E6" s="21" t="n">
        <x:f>IF(COUNT(C6:D6)=2,SUM(C6:D6),"")</x:f>
        <x:v>0.059573</x:v>
      </x:c>
    </x:row>
    <x:row r="7">
      <x:c r="A7" s="19" t="str">
        <x:v>8GPU</x:v>
      </x:c>
      <x:c r="B7" s="21" t="n">
        <x:v>0.08046149999999999</x:v>
      </x:c>
      <x:c r="C7" s="21" t="n">
        <x:v>0.026414</x:v>
      </x:c>
      <x:c r="D7" s="21" t="n">
        <x:v>0.005193</x:v>
      </x:c>
      <x:c r="E7" s="21" t="n">
        <x:f>IF(COUNT(C7:D7)=2,SUM(C7:D7),"")</x:f>
        <x:v>0.031606999999999996</x:v>
      </x:c>
    </x:row>
    <x:row r="8">
      <x:c r="A8" s="19" t="str">
        <x:v>16GPU</x:v>
      </x:c>
      <x:c r="B8" s="21" t="n">
        <x:v>0.0504605</x:v>
      </x:c>
      <x:c r="C8" s="21" t="n">
        <x:v>0.015144</x:v>
      </x:c>
      <x:c r="D8" s="21" t="n">
        <x:v>0.003826</x:v>
      </x:c>
      <x:c r="E8" s="21" t="n">
        <x:f>IF(COUNT(C8:D8)=2,SUM(C8:D8),"")</x:f>
        <x:v>0.01897</x:v>
      </x:c>
    </x:row>
    <x:row r="9">
      <x:c r="A9" s="19" t="str">
        <x:v>32GPU</x:v>
      </x:c>
      <x:c r="B9" s="21" t="n">
        <x:v>0.0353295</x:v>
      </x:c>
      <x:c r="C9" s="21" t="n">
        <x:v>0.008938</x:v>
      </x:c>
      <x:c r="D9" s="21" t="n">
        <x:v>0.003099</x:v>
      </x:c>
      <x:c r="E9" s="21" t="n">
        <x:f>IF(COUNT(C9:D9)=2,SUM(C9:D9),"")</x:f>
        <x:v>0.012036999999999999</x:v>
      </x:c>
    </x:row>
    <x:row r="10">
      <x:c r="A10" s="19" t="str">
        <x:v>64GPU</x:v>
      </x:c>
      <x:c r="B10" s="21" t="n">
        <x:v>0.0299595</x:v>
      </x:c>
      <x:c r="C10" s="21" t="n">
        <x:v>0.003724</x:v>
      </x:c>
      <x:c r="D10" s="21" t="n">
        <x:v>0.003029</x:v>
      </x:c>
      <x:c r="E10" s="21" t="n">
        <x:f>IF(COUNT(C10:D10)=2,SUM(C10:D10),"")</x:f>
        <x:v>0.006753</x:v>
      </x:c>
    </x:row>
  </x:sheetData>
  <x:mergeCells>
    <x:mergeCell ref="A1:E1"/>
    <x:mergeCell ref="A2:E2"/>
    <x:mergeCell ref="A3:E3"/>
    <x:mergeCell ref="A4:A5"/>
    <x:mergeCell ref="B4:B5"/>
    <x:mergeCell ref="C4:E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8" customHeight="1">
      <x:c r="A1" s="5" t="str">
        <x:v>PEO–LiTFSI — weak scaling</x:v>
      </x:c>
      <x:c r="B1" s="5"/>
      <x:c r="C1" s="5"/>
      <x:c r="D1" s="5"/>
      <x:c r="E1" s="5"/>
    </x:row>
    <x:row r="2" ht="32" customHeight="1">
      <x:c r="A2" s="10" t="str">
        <x:v>OPLS parameterization; RBL rs=12 angstrom, rc=6 angstrom, p=200; RBE P=200; dt=0.5 fs; 4 DCUs/node</x:v>
      </x:c>
      <x:c r="B2" s="10"/>
      <x:c r="C2" s="10"/>
      <x:c r="D2" s="10"/>
      <x:c r="E2" s="10"/>
    </x:row>
    <x:row r="3" ht="24" customHeight="1">
      <x:c r="A3" s="26" t="str">
        <x:v>Fixed workload: approximately 1,000,000 atoms/DCU</x:v>
      </x:c>
      <x:c r="B3" s="26"/>
      <x:c r="C3" s="26"/>
      <x:c r="D3" s="26"/>
      <x:c r="E3" s="26"/>
    </x:row>
    <x:row r="4" ht="26" customHeight="1">
      <x:c r="A4" s="16" t="str">
        <x:v>Resources</x:v>
      </x:c>
      <x:c r="B4" s="16" t="str">
        <x:v>LAMMPS-Kokkos total</x:v>
      </x:c>
      <x:c r="C4" s="16" t="str">
        <x:v>RBMD 2.0</x:v>
      </x:c>
      <x:c r="D4" s="16"/>
      <x:c r="E4" s="16"/>
    </x:row>
    <x:row r="5" ht="26" customHeight="1">
      <x:c r="A5" s="16"/>
      <x:c r="B5" s="16"/>
      <x:c r="C5" s="16" t="str">
        <x:v>Short range</x:v>
      </x:c>
      <x:c r="D5" s="16" t="str">
        <x:v>Long range</x:v>
      </x:c>
      <x:c r="E5" s="16" t="str">
        <x:v>Total</x:v>
      </x:c>
    </x:row>
    <x:row r="6">
      <x:c r="A6" s="19" t="str">
        <x:v>4M</x:v>
      </x:c>
      <x:c r="B6" s="21" t="n">
        <x:v>0.13813</x:v>
      </x:c>
      <x:c r="C6" s="21" t="n">
        <x:v>0.047316</x:v>
      </x:c>
      <x:c r="D6" s="21" t="n">
        <x:v>0.007772</x:v>
      </x:c>
      <x:c r="E6" s="21" t="n">
        <x:f>IF(COUNT(C6:D6)=2,SUM(C6:D6),"")</x:f>
        <x:v>0.055088</x:v>
      </x:c>
    </x:row>
    <x:row r="7">
      <x:c r="A7" s="19" t="str">
        <x:v>8M</x:v>
      </x:c>
      <x:c r="B7" s="21" t="n">
        <x:v>0.1399725</x:v>
      </x:c>
      <x:c r="C7" s="21" t="n">
        <x:v>0.047522</x:v>
      </x:c>
      <x:c r="D7" s="21" t="n">
        <x:v>0.007987</x:v>
      </x:c>
      <x:c r="E7" s="21" t="n">
        <x:f>IF(COUNT(C7:D7)=2,SUM(C7:D7),"")</x:f>
        <x:v>0.055509</x:v>
      </x:c>
    </x:row>
    <x:row r="8">
      <x:c r="A8" s="19" t="str">
        <x:v>16M</x:v>
      </x:c>
      <x:c r="B8" s="21" t="n">
        <x:v>0.14378749999999998</x:v>
      </x:c>
      <x:c r="C8" s="21" t="n">
        <x:v>0.047587</x:v>
      </x:c>
      <x:c r="D8" s="21" t="n">
        <x:v>0.008075</x:v>
      </x:c>
      <x:c r="E8" s="21" t="n">
        <x:f>IF(COUNT(C8:D8)=2,SUM(C8:D8),"")</x:f>
        <x:v>0.055661999999999996</x:v>
      </x:c>
    </x:row>
    <x:row r="9">
      <x:c r="A9" s="19" t="str">
        <x:v>32M</x:v>
      </x:c>
      <x:c r="B9" s="21" t="n">
        <x:v>0.15078</x:v>
      </x:c>
      <x:c r="C9" s="21" t="n">
        <x:v>0.04768</x:v>
      </x:c>
      <x:c r="D9" s="21" t="n">
        <x:v>0.008137</x:v>
      </x:c>
      <x:c r="E9" s="21" t="n">
        <x:f>IF(COUNT(C9:D9)=2,SUM(C9:D9),"")</x:f>
        <x:v>0.055817</x:v>
      </x:c>
    </x:row>
    <x:row r="10">
      <x:c r="A10" s="19" t="str">
        <x:v>64M</x:v>
      </x:c>
      <x:c r="B10" s="21" t="n">
        <x:v>0.16321</x:v>
      </x:c>
      <x:c r="C10" s="21" t="n">
        <x:v>0.04776</x:v>
      </x:c>
      <x:c r="D10" s="21" t="n">
        <x:v>0.008527</x:v>
      </x:c>
      <x:c r="E10" s="21" t="n">
        <x:f>IF(COUNT(C10:D10)=2,SUM(C10:D10),"")</x:f>
        <x:v>0.056287</x:v>
      </x:c>
    </x:row>
  </x:sheetData>
  <x:mergeCells>
    <x:mergeCell ref="A1:E1"/>
    <x:mergeCell ref="A2:E2"/>
    <x:mergeCell ref="A3:E3"/>
    <x:mergeCell ref="A4:A5"/>
    <x:mergeCell ref="B4:B5"/>
    <x:mergeCell ref="C4:E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" hidden="0" customWidth="1"/>
    <x:col min="5" max="5" width="3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PEO–LiTFSI — radial distribution functions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0" t="str">
        <x:v>976,200 atoms; 343 K; LAMMPS-Kokkos PPPM 1e-4; RBMD RBL rs=12 angstrom, rc=6 angstrom, p=200 and RBE P=200</x:v>
      </x:c>
      <x:c r="B2" s="10"/>
      <x:c r="C2" s="10"/>
      <x:c r="D2" s="10"/>
      <x:c r="E2" s="10"/>
      <x:c r="F2" s="10"/>
      <x:c r="G2" s="10"/>
      <x:c r="H2" s="10"/>
    </x:row>
    <x:row r="3" ht="24" customHeight="1">
      <x:c r="A3" s="26" t="str">
        <x:v>4 DCUs; dt=0.5 fs; 20,000 steps; dr=0.32 angstrom for Li–PEO(O) and dr=0.30 angstrom for Li–TFSI(O)</x:v>
      </x:c>
      <x:c r="B3" s="26"/>
      <x:c r="C3" s="26"/>
      <x:c r="D3" s="26"/>
      <x:c r="E3" s="26"/>
      <x:c r="F3" s="26"/>
      <x:c r="G3" s="26"/>
      <x:c r="H3" s="26"/>
    </x:row>
    <x:row r="8" ht="26" customHeight="1">
      <x:c r="A8" s="16" t="str">
        <x:v>Li–PEO(O)</x:v>
      </x:c>
      <x:c r="B8" s="16"/>
      <x:c r="C8" s="16"/>
      <x:c r="F8" s="16" t="str">
        <x:v>Li–TFSI(O)</x:v>
      </x:c>
      <x:c r="G8" s="16"/>
      <x:c r="H8" s="16"/>
    </x:row>
    <x:row r="9" ht="26" customHeight="1">
      <x:c r="A9" s="16" t="str">
        <x:v>r (angstrom)</x:v>
      </x:c>
      <x:c r="B9" s="16" t="str">
        <x:v>LAMMPS-Kokkos</x:v>
      </x:c>
      <x:c r="C9" s="16" t="str">
        <x:v>RBMD 2.0</x:v>
      </x:c>
      <x:c r="F9" s="16" t="str">
        <x:v>r (angstrom)</x:v>
      </x:c>
      <x:c r="G9" s="16" t="str">
        <x:v>LAMMPS-Kokkos</x:v>
      </x:c>
      <x:c r="H9" s="16" t="str">
        <x:v>RBMD 2.0</x:v>
      </x:c>
    </x:row>
    <x:row r="10">
      <x:c r="A10" s="21" t="n">
        <x:v>0.160714</x:v>
      </x:c>
      <x:c r="B10" s="21" t="n">
        <x:v>0</x:v>
      </x:c>
      <x:c r="C10" s="21" t="n">
        <x:v>0</x:v>
      </x:c>
      <x:c r="F10" s="21" t="n">
        <x:v>0.15</x:v>
      </x:c>
      <x:c r="G10" s="21" t="n">
        <x:v>0</x:v>
      </x:c>
      <x:c r="H10" s="21" t="n">
        <x:v>0</x:v>
      </x:c>
    </x:row>
    <x:row r="11">
      <x:c r="A11" s="21" t="n">
        <x:v>0.482143</x:v>
      </x:c>
      <x:c r="B11" s="21" t="n">
        <x:v>0</x:v>
      </x:c>
      <x:c r="C11" s="21" t="n">
        <x:v>0</x:v>
      </x:c>
      <x:c r="F11" s="21" t="n">
        <x:v>0.45</x:v>
      </x:c>
      <x:c r="G11" s="21" t="n">
        <x:v>0</x:v>
      </x:c>
      <x:c r="H11" s="21" t="n">
        <x:v>0</x:v>
      </x:c>
    </x:row>
    <x:row r="12">
      <x:c r="A12" s="21" t="n">
        <x:v>0.803571</x:v>
      </x:c>
      <x:c r="B12" s="21" t="n">
        <x:v>0</x:v>
      </x:c>
      <x:c r="C12" s="21" t="n">
        <x:v>0</x:v>
      </x:c>
      <x:c r="F12" s="21" t="n">
        <x:v>0.75</x:v>
      </x:c>
      <x:c r="G12" s="21" t="n">
        <x:v>0</x:v>
      </x:c>
      <x:c r="H12" s="21" t="n">
        <x:v>0</x:v>
      </x:c>
    </x:row>
    <x:row r="13">
      <x:c r="A13" s="21" t="n">
        <x:v>1.125</x:v>
      </x:c>
      <x:c r="B13" s="21" t="n">
        <x:v>0</x:v>
      </x:c>
      <x:c r="C13" s="21" t="n">
        <x:v>0</x:v>
      </x:c>
      <x:c r="F13" s="21" t="n">
        <x:v>1.05</x:v>
      </x:c>
      <x:c r="G13" s="21" t="n">
        <x:v>0</x:v>
      </x:c>
      <x:c r="H13" s="21" t="n">
        <x:v>0</x:v>
      </x:c>
    </x:row>
    <x:row r="14">
      <x:c r="A14" s="21" t="n">
        <x:v>1.44643</x:v>
      </x:c>
      <x:c r="B14" s="21" t="n">
        <x:v>0</x:v>
      </x:c>
      <x:c r="C14" s="21" t="n">
        <x:v>0</x:v>
      </x:c>
      <x:c r="F14" s="21" t="n">
        <x:v>1.35</x:v>
      </x:c>
      <x:c r="G14" s="21" t="n">
        <x:v>0</x:v>
      </x:c>
      <x:c r="H14" s="21" t="n">
        <x:v>0</x:v>
      </x:c>
    </x:row>
    <x:row r="15">
      <x:c r="A15" s="21" t="n">
        <x:v>1.76786</x:v>
      </x:c>
      <x:c r="B15" s="21" t="n">
        <x:v>5.84824</x:v>
      </x:c>
      <x:c r="C15" s="21" t="n">
        <x:v>4.86124</x:v>
      </x:c>
      <x:c r="F15" s="21" t="n">
        <x:v>1.65</x:v>
      </x:c>
      <x:c r="G15" s="21" t="n">
        <x:v>0.0104355</x:v>
      </x:c>
      <x:c r="H15" s="21" t="n">
        <x:v>0.00453719</x:v>
      </x:c>
    </x:row>
    <x:row r="16">
      <x:c r="A16" s="21" t="n">
        <x:v>2.08929</x:v>
      </x:c>
      <x:c r="B16" s="21" t="n">
        <x:v>16.8223</x:v>
      </x:c>
      <x:c r="C16" s="21" t="n">
        <x:v>16.0815</x:v>
      </x:c>
      <x:c r="F16" s="21" t="n">
        <x:v>1.95</x:v>
      </x:c>
      <x:c r="G16" s="21" t="n">
        <x:v>7.3734</x:v>
      </x:c>
      <x:c r="H16" s="21" t="n">
        <x:v>5.73682</x:v>
      </x:c>
    </x:row>
    <x:row r="17">
      <x:c r="A17" s="21" t="n">
        <x:v>2.41071</x:v>
      </x:c>
      <x:c r="B17" s="21" t="n">
        <x:v>1.17225</x:v>
      </x:c>
      <x:c r="C17" s="21" t="n">
        <x:v>2.11076</x:v>
      </x:c>
      <x:c r="F17" s="21" t="n">
        <x:v>2.25</x:v>
      </x:c>
      <x:c r="G17" s="21" t="n">
        <x:v>9.78781</x:v>
      </x:c>
      <x:c r="H17" s="21" t="n">
        <x:v>9.3246</x:v>
      </x:c>
    </x:row>
    <x:row r="18">
      <x:c r="A18" s="21" t="n">
        <x:v>2.73214</x:v>
      </x:c>
      <x:c r="B18" s="21" t="n">
        <x:v>0.220844</x:v>
      </x:c>
      <x:c r="C18" s="21" t="n">
        <x:v>0.342497</x:v>
      </x:c>
      <x:c r="F18" s="21" t="n">
        <x:v>2.55</x:v>
      </x:c>
      <x:c r="G18" s="21" t="n">
        <x:v>2.78631</x:v>
      </x:c>
      <x:c r="H18" s="21" t="n">
        <x:v>3.27606</x:v>
      </x:c>
    </x:row>
    <x:row r="19">
      <x:c r="A19" s="21" t="n">
        <x:v>3.05357</x:v>
      </x:c>
      <x:c r="B19" s="21" t="n">
        <x:v>0.144384</x:v>
      </x:c>
      <x:c r="C19" s="21" t="n">
        <x:v>0.18982</x:v>
      </x:c>
      <x:c r="F19" s="21" t="n">
        <x:v>2.85</x:v>
      </x:c>
      <x:c r="G19" s="21" t="n">
        <x:v>1.00585</x:v>
      </x:c>
      <x:c r="H19" s="21" t="n">
        <x:v>1.24627</x:v>
      </x:c>
    </x:row>
    <x:row r="20">
      <x:c r="A20" s="21" t="n">
        <x:v>3.375</x:v>
      </x:c>
      <x:c r="B20" s="21" t="n">
        <x:v>0.232002</x:v>
      </x:c>
      <x:c r="C20" s="21" t="n">
        <x:v>0.256261</x:v>
      </x:c>
      <x:c r="F20" s="21" t="n">
        <x:v>3.15</x:v>
      </x:c>
      <x:c r="G20" s="21" t="n">
        <x:v>0.612591</x:v>
      </x:c>
      <x:c r="H20" s="21" t="n">
        <x:v>0.751799</x:v>
      </x:c>
    </x:row>
    <x:row r="21">
      <x:c r="A21" s="21" t="n">
        <x:v>3.69643</x:v>
      </x:c>
      <x:c r="B21" s="21" t="n">
        <x:v>0.473011</x:v>
      </x:c>
      <x:c r="C21" s="21" t="n">
        <x:v>0.500407</x:v>
      </x:c>
      <x:c r="F21" s="21" t="n">
        <x:v>3.45</x:v>
      </x:c>
      <x:c r="G21" s="21" t="n">
        <x:v>0.669351</x:v>
      </x:c>
      <x:c r="H21" s="21" t="n">
        <x:v>0.711264</x:v>
      </x:c>
    </x:row>
    <x:row r="22">
      <x:c r="A22" s="21" t="n">
        <x:v>4.01786</x:v>
      </x:c>
      <x:c r="B22" s="21" t="n">
        <x:v>0.667573</x:v>
      </x:c>
      <x:c r="C22" s="21" t="n">
        <x:v>0.681688</x:v>
      </x:c>
      <x:c r="F22" s="21" t="n">
        <x:v>3.75</x:v>
      </x:c>
      <x:c r="G22" s="21" t="n">
        <x:v>0.998934</x:v>
      </x:c>
      <x:c r="H22" s="21" t="n">
        <x:v>0.995061</x:v>
      </x:c>
    </x:row>
    <x:row r="23">
      <x:c r="A23" s="21" t="n">
        <x:v>4.33929</x:v>
      </x:c>
      <x:c r="B23" s="21" t="n">
        <x:v>0.729265</x:v>
      </x:c>
      <x:c r="C23" s="21" t="n">
        <x:v>0.67877</x:v>
      </x:c>
      <x:c r="F23" s="21" t="n">
        <x:v>4.05</x:v>
      </x:c>
      <x:c r="G23" s="21" t="n">
        <x:v>1.58119</x:v>
      </x:c>
      <x:c r="H23" s="21" t="n">
        <x:v>1.50435</x:v>
      </x:c>
    </x:row>
    <x:row r="24">
      <x:c r="A24" s="21" t="n">
        <x:v>4.66071</x:v>
      </x:c>
      <x:c r="B24" s="21" t="n">
        <x:v>0.632588</x:v>
      </x:c>
      <x:c r="C24" s="21" t="n">
        <x:v>0.590815</x:v>
      </x:c>
      <x:c r="F24" s="21" t="n">
        <x:v>4.35</x:v>
      </x:c>
      <x:c r="G24" s="21" t="n">
        <x:v>2.29298</x:v>
      </x:c>
      <x:c r="H24" s="21" t="n">
        <x:v>2.10885</x:v>
      </x:c>
    </x:row>
    <x:row r="25">
      <x:c r="A25" s="21" t="n">
        <x:v>4.98214</x:v>
      </x:c>
      <x:c r="B25" s="21" t="n">
        <x:v>0.516786</x:v>
      </x:c>
      <x:c r="C25" s="21" t="n">
        <x:v>0.504737</x:v>
      </x:c>
      <x:c r="F25" s="21" t="n">
        <x:v>4.65</x:v>
      </x:c>
      <x:c r="G25" s="21" t="n">
        <x:v>1.94531</x:v>
      </x:c>
      <x:c r="H25" s="21" t="n">
        <x:v>1.95722</x:v>
      </x:c>
    </x:row>
    <x:row r="26">
      <x:c r="A26" s="21" t="n">
        <x:v>5.30357</x:v>
      </x:c>
      <x:c r="B26" s="21" t="n">
        <x:v>0.514424</x:v>
      </x:c>
      <x:c r="C26" s="21" t="n">
        <x:v>0.50642</x:v>
      </x:c>
      <x:c r="F26" s="21" t="n">
        <x:v>4.95</x:v>
      </x:c>
      <x:c r="G26" s="21" t="n">
        <x:v>1.35539</x:v>
      </x:c>
      <x:c r="H26" s="21" t="n">
        <x:v>1.43731</x:v>
      </x:c>
    </x:row>
    <x:row r="27">
      <x:c r="A27" s="21" t="n">
        <x:v>5.625</x:v>
      </x:c>
      <x:c r="B27" s="21" t="n">
        <x:v>0.696103</x:v>
      </x:c>
      <x:c r="C27" s="21" t="n">
        <x:v>0.645183</x:v>
      </x:c>
      <x:c r="F27" s="21" t="n">
        <x:v>5.25</x:v>
      </x:c>
      <x:c r="G27" s="21" t="n">
        <x:v>1.40233</x:v>
      </x:c>
      <x:c r="H27" s="21" t="n">
        <x:v>1.42609</x:v>
      </x:c>
    </x:row>
    <x:row r="28">
      <x:c r="A28" s="21" t="n">
        <x:v>5.94643</x:v>
      </x:c>
      <x:c r="B28" s="21" t="n">
        <x:v>0.922662</x:v>
      </x:c>
      <x:c r="C28" s="21" t="n">
        <x:v>0.842096</x:v>
      </x:c>
      <x:c r="F28" s="21" t="n">
        <x:v>5.55</x:v>
      </x:c>
      <x:c r="G28" s="21" t="n">
        <x:v>1.75538</x:v>
      </x:c>
      <x:c r="H28" s="21" t="n">
        <x:v>1.70975</x:v>
      </x:c>
    </x:row>
    <x:row r="29">
      <x:c r="A29" s="21" t="n">
        <x:v>6.26786</x:v>
      </x:c>
      <x:c r="B29" s="21" t="n">
        <x:v>0.931378</x:v>
      </x:c>
      <x:c r="C29" s="21" t="n">
        <x:v>0.913867</x:v>
      </x:c>
      <x:c r="F29" s="21" t="n">
        <x:v>5.85</x:v>
      </x:c>
      <x:c r="G29" s="21" t="n">
        <x:v>2.28317</x:v>
      </x:c>
      <x:c r="H29" s="21" t="n">
        <x:v>2.17711</x:v>
      </x:c>
    </x:row>
    <x:row r="30">
      <x:c r="A30" s="21" t="n">
        <x:v>6.58929</x:v>
      </x:c>
      <x:c r="B30" s="21" t="n">
        <x:v>0.847633</x:v>
      </x:c>
      <x:c r="C30" s="21" t="n">
        <x:v>0.849678</x:v>
      </x:c>
      <x:c r="F30" s="21" t="n">
        <x:v>6.15</x:v>
      </x:c>
      <x:c r="G30" s="21" t="n">
        <x:v>2.55432</x:v>
      </x:c>
      <x:c r="H30" s="21" t="n">
        <x:v>2.53091</x:v>
      </x:c>
    </x:row>
    <x:row r="31">
      <x:c r="A31" s="21" t="n">
        <x:v>6.91071</x:v>
      </x:c>
      <x:c r="B31" s="21" t="n">
        <x:v>0.804495</x:v>
      </x:c>
      <x:c r="C31" s="21" t="n">
        <x:v>0.813547</x:v>
      </x:c>
      <x:c r="F31" s="21" t="n">
        <x:v>6.45</x:v>
      </x:c>
      <x:c r="G31" s="21" t="n">
        <x:v>2.29712</x:v>
      </x:c>
      <x:c r="H31" s="21" t="n">
        <x:v>2.38035</x:v>
      </x:c>
    </x:row>
    <x:row r="32">
      <x:c r="A32" s="21" t="n">
        <x:v>7.23214</x:v>
      </x:c>
      <x:c r="B32" s="21" t="n">
        <x:v>0.823849</x:v>
      </x:c>
      <x:c r="C32" s="21" t="n">
        <x:v>0.825167</x:v>
      </x:c>
      <x:c r="F32" s="21" t="n">
        <x:v>6.75</x:v>
      </x:c>
      <x:c r="G32" s="21" t="n">
        <x:v>1.93452</x:v>
      </x:c>
      <x:c r="H32" s="21" t="n">
        <x:v>2.02028</x:v>
      </x:c>
    </x:row>
    <x:row r="33">
      <x:c r="A33" s="21" t="n">
        <x:v>7.55357</x:v>
      </x:c>
      <x:c r="B33" s="21" t="n">
        <x:v>0.859813</x:v>
      </x:c>
      <x:c r="C33" s="21" t="n">
        <x:v>0.858768</x:v>
      </x:c>
      <x:c r="F33" s="21" t="n">
        <x:v>7.05</x:v>
      </x:c>
      <x:c r="G33" s="21" t="n">
        <x:v>1.75445</x:v>
      </x:c>
      <x:c r="H33" s="21" t="n">
        <x:v>1.79085</x:v>
      </x:c>
    </x:row>
    <x:row r="34">
      <x:c r="A34" s="21" t="n">
        <x:v>7.875</x:v>
      </x:c>
      <x:c r="B34" s="21" t="n">
        <x:v>0.879371</x:v>
      </x:c>
      <x:c r="C34" s="21" t="n">
        <x:v>0.874935</x:v>
      </x:c>
      <x:c r="F34" s="21" t="n">
        <x:v>7.35</x:v>
      </x:c>
      <x:c r="G34" s="21" t="n">
        <x:v>1.71477</x:v>
      </x:c>
      <x:c r="H34" s="21" t="n">
        <x:v>1.69925</x:v>
      </x:c>
    </x:row>
    <x:row r="35">
      <x:c r="A35" s="21" t="n">
        <x:v>8.19643</x:v>
      </x:c>
      <x:c r="B35" s="21" t="n">
        <x:v>0.895789</x:v>
      </x:c>
      <x:c r="C35" s="21" t="n">
        <x:v>0.886553</x:v>
      </x:c>
      <x:c r="F35" s="21" t="n">
        <x:v>7.65</x:v>
      </x:c>
      <x:c r="G35" s="21" t="n">
        <x:v>1.73835</x:v>
      </x:c>
      <x:c r="H35" s="21" t="n">
        <x:v>1.72336</x:v>
      </x:c>
    </x:row>
    <x:row r="36">
      <x:c r="A36" s="21" t="n">
        <x:v>8.51786</x:v>
      </x:c>
      <x:c r="B36" s="21" t="n">
        <x:v>0.902053</x:v>
      </x:c>
      <x:c r="C36" s="21" t="n">
        <x:v>0.899778</x:v>
      </x:c>
      <x:c r="F36" s="21" t="n">
        <x:v>7.95</x:v>
      </x:c>
      <x:c r="G36" s="21" t="n">
        <x:v>1.81324</x:v>
      </x:c>
      <x:c r="H36" s="21" t="n">
        <x:v>1.78875</x:v>
      </x:c>
    </x:row>
    <x:row r="37">
      <x:c r="A37" s="21" t="n">
        <x:v>8.83929</x:v>
      </x:c>
      <x:c r="B37" s="21" t="n">
        <x:v>0.895259</x:v>
      </x:c>
      <x:c r="C37" s="21" t="n">
        <x:v>0.889288</x:v>
      </x:c>
      <x:c r="F37" s="21" t="n">
        <x:v>8.25</x:v>
      </x:c>
      <x:c r="G37" s="21" t="n">
        <x:v>1.85976</x:v>
      </x:c>
      <x:c r="H37" s="21" t="n">
        <x:v>1.83149</x:v>
      </x:c>
    </x:row>
    <x:row r="38">
      <x:c r="A38" s="21" t="n">
        <x:v>9.16071</x:v>
      </x:c>
      <x:c r="B38" s="21" t="n">
        <x:v>0.877352</x:v>
      </x:c>
      <x:c r="C38" s="21" t="n">
        <x:v>0.875892</x:v>
      </x:c>
      <x:c r="F38" s="21" t="n">
        <x:v>8.55</x:v>
      </x:c>
      <x:c r="G38" s="21" t="n">
        <x:v>1.83038</x:v>
      </x:c>
      <x:c r="H38" s="21" t="n">
        <x:v>1.81878</x:v>
      </x:c>
    </x:row>
    <x:row r="39">
      <x:c r="A39" s="21" t="n">
        <x:v>9.48214</x:v>
      </x:c>
      <x:c r="B39" s="21" t="n">
        <x:v>0.870023</x:v>
      </x:c>
      <x:c r="C39" s="21" t="n">
        <x:v>0.860041</x:v>
      </x:c>
      <x:c r="F39" s="21" t="n">
        <x:v>8.85</x:v>
      </x:c>
      <x:c r="G39" s="21" t="n">
        <x:v>1.71217</x:v>
      </x:c>
      <x:c r="H39" s="21" t="n">
        <x:v>1.74012</x:v>
      </x:c>
    </x:row>
    <x:row r="40">
      <x:c r="A40" s="21" t="n">
        <x:v>9.80357</x:v>
      </x:c>
      <x:c r="B40" s="21" t="n">
        <x:v>0.881258</x:v>
      </x:c>
      <x:c r="C40" s="21" t="n">
        <x:v>0.867633</x:v>
      </x:c>
      <x:c r="F40" s="21" t="n">
        <x:v>9.15</x:v>
      </x:c>
      <x:c r="G40" s="21" t="n">
        <x:v>1.64408</x:v>
      </x:c>
      <x:c r="H40" s="21" t="n">
        <x:v>1.66584</x:v>
      </x:c>
    </x:row>
    <x:row r="41">
      <x:c r="A41" s="21" t="n">
        <x:v>10.125</x:v>
      </x:c>
      <x:c r="B41" s="21" t="n">
        <x:v>0.897851</x:v>
      </x:c>
      <x:c r="C41" s="21" t="n">
        <x:v>0.885704</x:v>
      </x:c>
      <x:c r="F41" s="21" t="n">
        <x:v>9.45</x:v>
      </x:c>
      <x:c r="G41" s="21" t="n">
        <x:v>1.60911</x:v>
      </x:c>
      <x:c r="H41" s="21" t="n">
        <x:v>1.62925</x:v>
      </x:c>
    </x:row>
    <x:row r="42">
      <x:c r="A42" s="21" t="n">
        <x:v>10.4464</x:v>
      </x:c>
      <x:c r="B42" s="21" t="n">
        <x:v>0.917125</x:v>
      </x:c>
      <x:c r="C42" s="21" t="n">
        <x:v>0.904413</x:v>
      </x:c>
      <x:c r="F42" s="21" t="n">
        <x:v>9.75</x:v>
      </x:c>
      <x:c r="G42" s="21" t="n">
        <x:v>1.59265</x:v>
      </x:c>
      <x:c r="H42" s="21" t="n">
        <x:v>1.58279</x:v>
      </x:c>
    </x:row>
    <x:row r="43">
      <x:c r="A43" s="21" t="n">
        <x:v>10.7679</x:v>
      </x:c>
      <x:c r="B43" s="21" t="n">
        <x:v>0.938709</x:v>
      </x:c>
      <x:c r="C43" s="21" t="n">
        <x:v>0.925573</x:v>
      </x:c>
      <x:c r="F43" s="21" t="n">
        <x:v>10.05</x:v>
      </x:c>
      <x:c r="G43" s="21" t="n">
        <x:v>1.58376</x:v>
      </x:c>
      <x:c r="H43" s="21" t="n">
        <x:v>1.57388</x:v>
      </x:c>
    </x:row>
    <x:row r="44">
      <x:c r="A44" s="21" t="n">
        <x:v>11.0893</x:v>
      </x:c>
      <x:c r="B44" s="21" t="n">
        <x:v>0.952639</x:v>
      </x:c>
      <x:c r="C44" s="21" t="n">
        <x:v>0.942111</x:v>
      </x:c>
      <x:c r="F44" s="21" t="n">
        <x:v>10.35</x:v>
      </x:c>
      <x:c r="G44" s="21" t="n">
        <x:v>1.57789</x:v>
      </x:c>
      <x:c r="H44" s="21" t="n">
        <x:v>1.56298</x:v>
      </x:c>
    </x:row>
    <x:row r="45">
      <x:c r="A45" s="21" t="n">
        <x:v>11.4107</x:v>
      </x:c>
      <x:c r="B45" s="21" t="n">
        <x:v>0.972204</x:v>
      </x:c>
      <x:c r="C45" s="21" t="n">
        <x:v>0.960315</x:v>
      </x:c>
      <x:c r="F45" s="21" t="n">
        <x:v>10.65</x:v>
      </x:c>
      <x:c r="G45" s="21" t="n">
        <x:v>1.55039</x:v>
      </x:c>
      <x:c r="H45" s="21" t="n">
        <x:v>1.54549</x:v>
      </x:c>
    </x:row>
    <x:row r="46">
      <x:c r="A46" s="21" t="n">
        <x:v>11.7321</x:v>
      </x:c>
      <x:c r="B46" s="21" t="n">
        <x:v>0.982181</x:v>
      </x:c>
      <x:c r="C46" s="21" t="n">
        <x:v>0.972983</x:v>
      </x:c>
      <x:c r="F46" s="21" t="n">
        <x:v>10.95</x:v>
      </x:c>
      <x:c r="G46" s="21" t="n">
        <x:v>1.50118</x:v>
      </x:c>
      <x:c r="H46" s="21" t="n">
        <x:v>1.5172</x:v>
      </x:c>
    </x:row>
    <x:row r="47">
      <x:c r="A47" s="21" t="n">
        <x:v>12.0536</x:v>
      </x:c>
      <x:c r="B47" s="21" t="n">
        <x:v>0.98618</x:v>
      </x:c>
      <x:c r="C47" s="21" t="n">
        <x:v>0.975197</x:v>
      </x:c>
      <x:c r="F47" s="21" t="n">
        <x:v>11.25</x:v>
      </x:c>
      <x:c r="G47" s="21" t="n">
        <x:v>1.46792</x:v>
      </x:c>
      <x:c r="H47" s="21" t="n">
        <x:v>1.46818</x:v>
      </x:c>
    </x:row>
    <x:row r="48">
      <x:c r="A48" s="21" t="n">
        <x:v>12.375</x:v>
      </x:c>
      <x:c r="B48" s="21" t="n">
        <x:v>0.982807</x:v>
      </x:c>
      <x:c r="C48" s="21" t="n">
        <x:v>0.97572</x:v>
      </x:c>
      <x:c r="F48" s="21" t="n">
        <x:v>11.55</x:v>
      </x:c>
      <x:c r="G48" s="21" t="n">
        <x:v>1.4368</x:v>
      </x:c>
      <x:c r="H48" s="21" t="n">
        <x:v>1.4324</x:v>
      </x:c>
    </x:row>
    <x:row r="49">
      <x:c r="A49" s="21" t="n">
        <x:v>12.6964</x:v>
      </x:c>
      <x:c r="B49" s="21" t="n">
        <x:v>0.970153</x:v>
      </x:c>
      <x:c r="C49" s="21" t="n">
        <x:v>0.968358</x:v>
      </x:c>
      <x:c r="F49" s="21" t="n">
        <x:v>11.85</x:v>
      </x:c>
      <x:c r="G49" s="21" t="n">
        <x:v>1.41178</x:v>
      </x:c>
      <x:c r="H49" s="21" t="n">
        <x:v>1.41285</x:v>
      </x:c>
    </x:row>
    <x:row r="50">
      <x:c r="A50" s="21" t="n">
        <x:v>13.0179</x:v>
      </x:c>
      <x:c r="B50" s="21" t="n">
        <x:v>0.958567</x:v>
      </x:c>
      <x:c r="C50" s="21" t="n">
        <x:v>0.954267</x:v>
      </x:c>
      <x:c r="F50" s="21" t="n">
        <x:v>12.15</x:v>
      </x:c>
      <x:c r="G50" s="21" t="n">
        <x:v>1.39861</x:v>
      </x:c>
      <x:c r="H50" s="21" t="n">
        <x:v>1.39635</x:v>
      </x:c>
    </x:row>
    <x:row r="51">
      <x:c r="A51" s="21" t="n">
        <x:v>13.3393</x:v>
      </x:c>
      <x:c r="B51" s="21" t="n">
        <x:v>0.953213</x:v>
      </x:c>
      <x:c r="C51" s="21" t="n">
        <x:v>0.951804</x:v>
      </x:c>
      <x:c r="F51" s="21" t="n">
        <x:v>12.45</x:v>
      </x:c>
      <x:c r="G51" s="21" t="n">
        <x:v>1.39153</x:v>
      </x:c>
      <x:c r="H51" s="21" t="n">
        <x:v>1.39435</x:v>
      </x:c>
    </x:row>
    <x:row r="52">
      <x:c r="A52" s="21" t="n">
        <x:v>13.6607</x:v>
      </x:c>
      <x:c r="B52" s="21" t="n">
        <x:v>0.951671</x:v>
      </x:c>
      <x:c r="C52" s="21" t="n">
        <x:v>0.947843</x:v>
      </x:c>
      <x:c r="F52" s="21" t="n">
        <x:v>12.75</x:v>
      </x:c>
      <x:c r="G52" s="21" t="n">
        <x:v>1.38331</x:v>
      </x:c>
      <x:c r="H52" s="21" t="n">
        <x:v>1.38359</x:v>
      </x:c>
    </x:row>
    <x:row r="53">
      <x:c r="A53" s="21" t="n">
        <x:v>13.9821</x:v>
      </x:c>
      <x:c r="B53" s="21" t="n">
        <x:v>0.952604</x:v>
      </x:c>
      <x:c r="C53" s="21" t="n">
        <x:v>0.946296</x:v>
      </x:c>
      <x:c r="F53" s="21" t="n">
        <x:v>13.05</x:v>
      </x:c>
      <x:c r="G53" s="21" t="n">
        <x:v>1.37649</x:v>
      </x:c>
      <x:c r="H53" s="21" t="n">
        <x:v>1.37489</x:v>
      </x:c>
    </x:row>
    <x:row r="54">
      <x:c r="A54" s="21" t="n">
        <x:v>14.3036</x:v>
      </x:c>
      <x:c r="B54" s="21" t="n">
        <x:v>0.956053</x:v>
      </x:c>
      <x:c r="C54" s="21" t="n">
        <x:v>0.947392</x:v>
      </x:c>
      <x:c r="F54" s="21" t="n">
        <x:v>13.35</x:v>
      </x:c>
      <x:c r="G54" s="21" t="n">
        <x:v>1.3683</x:v>
      </x:c>
      <x:c r="H54" s="21" t="n">
        <x:v>1.37151</x:v>
      </x:c>
    </x:row>
    <x:row r="55">
      <x:c r="A55" s="21" t="n">
        <x:v>14.625</x:v>
      </x:c>
      <x:c r="B55" s="21" t="n">
        <x:v>0.957594</x:v>
      </x:c>
      <x:c r="C55" s="21" t="n">
        <x:v>0.945621</x:v>
      </x:c>
      <x:c r="F55" s="21" t="n">
        <x:v>13.65</x:v>
      </x:c>
      <x:c r="G55" s="21" t="n">
        <x:v>1.36161</x:v>
      </x:c>
      <x:c r="H55" s="21" t="n">
        <x:v>1.36671</x:v>
      </x:c>
    </x:row>
    <x:row r="56">
      <x:c r="A56" s="21" t="n">
        <x:v>14.9464</x:v>
      </x:c>
      <x:c r="B56" s="21" t="n">
        <x:v>0.956166</x:v>
      </x:c>
      <x:c r="C56" s="21" t="n">
        <x:v>0.94811</x:v>
      </x:c>
      <x:c r="F56" s="21" t="n">
        <x:v>13.95</x:v>
      </x:c>
      <x:c r="G56" s="21" t="n">
        <x:v>1.35389</x:v>
      </x:c>
      <x:c r="H56" s="21" t="n">
        <x:v>1.35185</x:v>
      </x:c>
    </x:row>
    <x:row r="57">
      <x:c r="A57" s="21" t="n">
        <x:v>15.2679</x:v>
      </x:c>
      <x:c r="B57" s="21" t="n">
        <x:v>0.95735</x:v>
      </x:c>
      <x:c r="C57" s="21" t="n">
        <x:v>0.947989</x:v>
      </x:c>
      <x:c r="F57" s="21" t="n">
        <x:v>14.25</x:v>
      </x:c>
      <x:c r="G57" s="21" t="n">
        <x:v>1.34878</x:v>
      </x:c>
      <x:c r="H57" s="21" t="n">
        <x:v>1.3381</x:v>
      </x:c>
    </x:row>
    <x:row r="58">
      <x:c r="A58" s="21" t="n">
        <x:v>15.5893</x:v>
      </x:c>
      <x:c r="B58" s="21" t="n">
        <x:v>0.953755</x:v>
      </x:c>
      <x:c r="C58" s="21" t="n">
        <x:v>0.946873</x:v>
      </x:c>
      <x:c r="F58" s="21" t="n">
        <x:v>14.55</x:v>
      </x:c>
      <x:c r="G58" s="21" t="n">
        <x:v>1.33042</x:v>
      </x:c>
      <x:c r="H58" s="21" t="n">
        <x:v>1.32971</x:v>
      </x:c>
    </x:row>
    <x:row r="59">
      <x:c r="A59" s="21" t="n">
        <x:v>15.9107</x:v>
      </x:c>
      <x:c r="B59" s="21" t="n">
        <x:v>0.949996</x:v>
      </x:c>
      <x:c r="C59" s="21" t="n">
        <x:v>0.943917</x:v>
      </x:c>
      <x:c r="F59" s="21" t="n">
        <x:v>14.85</x:v>
      </x:c>
      <x:c r="G59" s="21" t="n">
        <x:v>1.32242</x:v>
      </x:c>
      <x:c r="H59" s="21" t="n">
        <x:v>1.32536</x:v>
      </x:c>
    </x:row>
    <x:row r="60">
      <x:c r="A60" s="21" t="n">
        <x:v>16.2321</x:v>
      </x:c>
      <x:c r="B60" s="21" t="n">
        <x:v>0.949249</x:v>
      </x:c>
      <x:c r="C60" s="21" t="n">
        <x:v>0.94122</x:v>
      </x:c>
      <x:c r="F60" s="21" t="n">
        <x:v>15.15</x:v>
      </x:c>
      <x:c r="G60" s="21" t="n">
        <x:v>1.31082</x:v>
      </x:c>
      <x:c r="H60" s="21" t="n">
        <x:v>1.31287</x:v>
      </x:c>
    </x:row>
    <x:row r="61">
      <x:c r="A61" s="21" t="n">
        <x:v>16.5536</x:v>
      </x:c>
      <x:c r="B61" s="21" t="n">
        <x:v>0.946586</x:v>
      </x:c>
      <x:c r="C61" s="21" t="n">
        <x:v>0.938806</x:v>
      </x:c>
      <x:c r="F61" s="21" t="n">
        <x:v>15.45</x:v>
      </x:c>
      <x:c r="G61" s="21" t="n">
        <x:v>1.30492</x:v>
      </x:c>
      <x:c r="H61" s="21" t="n">
        <x:v>1.30933</x:v>
      </x:c>
    </x:row>
    <x:row r="62">
      <x:c r="A62" s="21" t="n">
        <x:v>16.875</x:v>
      </x:c>
      <x:c r="B62" s="21" t="n">
        <x:v>0.945888</x:v>
      </x:c>
      <x:c r="C62" s="21" t="n">
        <x:v>0.938569</x:v>
      </x:c>
      <x:c r="F62" s="21" t="n">
        <x:v>15.75</x:v>
      </x:c>
      <x:c r="G62" s="21" t="n">
        <x:v>1.30209</x:v>
      </x:c>
      <x:c r="H62" s="21" t="n">
        <x:v>1.29913</x:v>
      </x:c>
    </x:row>
    <x:row r="63">
      <x:c r="A63" s="21" t="n">
        <x:v>17.1964</x:v>
      </x:c>
      <x:c r="B63" s="21" t="n">
        <x:v>0.943159</x:v>
      </x:c>
      <x:c r="C63" s="21" t="n">
        <x:v>0.937033</x:v>
      </x:c>
      <x:c r="F63" s="21" t="n">
        <x:v>16.05</x:v>
      </x:c>
      <x:c r="G63" s="21" t="n">
        <x:v>1.29218</x:v>
      </x:c>
      <x:c r="H63" s="21" t="n">
        <x:v>1.29291</x:v>
      </x:c>
    </x:row>
    <x:row r="64">
      <x:c r="A64" s="21" t="n">
        <x:v>17.5179</x:v>
      </x:c>
      <x:c r="B64" s="21" t="n">
        <x:v>0.941705</x:v>
      </x:c>
      <x:c r="C64" s="21" t="n">
        <x:v>0.938329</x:v>
      </x:c>
      <x:c r="F64" s="21" t="n">
        <x:v>16.35</x:v>
      </x:c>
      <x:c r="G64" s="21" t="n">
        <x:v>1.28994</x:v>
      </x:c>
      <x:c r="H64" s="21" t="n">
        <x:v>1.28882</x:v>
      </x:c>
    </x:row>
    <x:row r="65">
      <x:c r="A65" s="21" t="n">
        <x:v>17.8393</x:v>
      </x:c>
      <x:c r="B65" s="21" t="n">
        <x:v>0.944202</x:v>
      </x:c>
      <x:c r="C65" s="21" t="n">
        <x:v>0.938246</x:v>
      </x:c>
      <x:c r="F65" s="21" t="n">
        <x:v>16.65</x:v>
      </x:c>
      <x:c r="G65" s="21" t="n">
        <x:v>1.28409</x:v>
      </x:c>
      <x:c r="H65" s="21" t="n">
        <x:v>1.28109</x:v>
      </x:c>
    </x:row>
    <x:row r="66">
      <x:c r="A66" s="21"/>
      <x:c r="B66" s="21"/>
      <x:c r="C66" s="21"/>
      <x:c r="F66" s="21" t="n">
        <x:v>16.95</x:v>
      </x:c>
      <x:c r="G66" s="21" t="n">
        <x:v>1.27407</x:v>
      </x:c>
      <x:c r="H66" s="21" t="n">
        <x:v>1.27968</x:v>
      </x:c>
    </x:row>
    <x:row r="67">
      <x:c r="A67" s="21"/>
      <x:c r="B67" s="21"/>
      <x:c r="C67" s="21"/>
      <x:c r="F67" s="21" t="n">
        <x:v>17.25</x:v>
      </x:c>
      <x:c r="G67" s="21" t="n">
        <x:v>1.27121</x:v>
      </x:c>
      <x:c r="H67" s="21" t="n">
        <x:v>1.27532</x:v>
      </x:c>
    </x:row>
    <x:row r="68">
      <x:c r="A68" s="21"/>
      <x:c r="B68" s="21"/>
      <x:c r="C68" s="21"/>
      <x:c r="F68" s="21" t="n">
        <x:v>17.55</x:v>
      </x:c>
      <x:c r="G68" s="21" t="n">
        <x:v>1.26731</x:v>
      </x:c>
      <x:c r="H68" s="21" t="n">
        <x:v>1.26518</x:v>
      </x:c>
    </x:row>
    <x:row r="69">
      <x:c r="A69" s="21"/>
      <x:c r="B69" s="21"/>
      <x:c r="C69" s="21"/>
      <x:c r="F69" s="21" t="n">
        <x:v>17.85</x:v>
      </x:c>
      <x:c r="G69" s="21" t="n">
        <x:v>1.26393</x:v>
      </x:c>
      <x:c r="H69" s="21" t="n">
        <x:v>1.26548</x:v>
      </x:c>
    </x:row>
  </x:sheetData>
  <x:mergeCells>
    <x:mergeCell ref="A1:H1"/>
    <x:mergeCell ref="A2:H2"/>
    <x:mergeCell ref="A3:H3"/>
    <x:mergeCell ref="A8:C8"/>
    <x:mergeCell ref="F8:H8"/>
  </x:mergeCells>
  <x:pageMargins left="0.7" right="0.7" top="0.75" bottom="0.75" header="0.3" footer="0.3"/>
</x:worksheet>
</file>